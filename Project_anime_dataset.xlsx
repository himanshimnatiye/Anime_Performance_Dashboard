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780BB40B-7900-4A42-89B0-B074C5825AE4}" xr6:coauthVersionLast="47" xr6:coauthVersionMax="47" xr10:uidLastSave="{00000000-0000-0000-0000-000000000000}"/>
  <bookViews>
    <workbookView xWindow="-108" yWindow="-108" windowWidth="23256" windowHeight="12456" activeTab="2" xr2:uid="{EB27C2F1-467D-4017-8BE8-E6B80BCB7188}"/>
  </bookViews>
  <sheets>
    <sheet name="anime_dataset" sheetId="1" r:id="rId1"/>
    <sheet name="Clean data" sheetId="7" r:id="rId2"/>
    <sheet name="Pivot Table" sheetId="3" r:id="rId3"/>
    <sheet name="Dashboard" sheetId="6" r:id="rId4"/>
  </sheets>
  <definedNames>
    <definedName name="_xlnm._FilterDatabase" localSheetId="0" hidden="1">anime_dataset!$G$164:$G$207</definedName>
    <definedName name="NativeTimeline_aired_start">#N/A</definedName>
    <definedName name="Slicer_anime_type">#N/A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1" i="7" l="1"/>
  <c r="Z10" i="7" s="1"/>
  <c r="X10" i="7"/>
  <c r="X9" i="7"/>
  <c r="Z9" i="7" s="1"/>
  <c r="X8" i="7"/>
  <c r="Z8" i="7" s="1"/>
  <c r="X7" i="7"/>
  <c r="Z7" i="7" s="1"/>
  <c r="X6" i="7"/>
  <c r="Z6" i="7" s="1"/>
  <c r="X5" i="7"/>
  <c r="Z5" i="7" s="1"/>
  <c r="X4" i="7"/>
  <c r="Z4" i="7" s="1"/>
  <c r="X3" i="7"/>
  <c r="Z3" i="7" s="1"/>
  <c r="X2" i="7"/>
  <c r="Z2" i="7" s="1"/>
  <c r="A3" i="3"/>
  <c r="B3" i="3"/>
  <c r="C3" i="3"/>
</calcChain>
</file>

<file path=xl/sharedStrings.xml><?xml version="1.0" encoding="utf-8"?>
<sst xmlns="http://schemas.openxmlformats.org/spreadsheetml/2006/main" count="3075" uniqueCount="871">
  <si>
    <t>anime_id</t>
  </si>
  <si>
    <t>title</t>
  </si>
  <si>
    <t>anime_type</t>
  </si>
  <si>
    <t>episodes</t>
  </si>
  <si>
    <t>status</t>
  </si>
  <si>
    <t>aired_start</t>
  </si>
  <si>
    <t>aired_end</t>
  </si>
  <si>
    <t>year</t>
  </si>
  <si>
    <t>rating</t>
  </si>
  <si>
    <t>popularity</t>
  </si>
  <si>
    <t>genres</t>
  </si>
  <si>
    <t>genres_count</t>
  </si>
  <si>
    <t>netflix</t>
  </si>
  <si>
    <t>crunchyroll</t>
  </si>
  <si>
    <t>amazon_prime</t>
  </si>
  <si>
    <t>hulu</t>
  </si>
  <si>
    <t>funimation</t>
  </si>
  <si>
    <t>disney_plus</t>
  </si>
  <si>
    <t>hbo_max</t>
  </si>
  <si>
    <t>hidive</t>
  </si>
  <si>
    <t>pokemon_tv</t>
  </si>
  <si>
    <t>streaming_platforms_count</t>
  </si>
  <si>
    <t>poster_url</t>
  </si>
  <si>
    <t>Naruto</t>
  </si>
  <si>
    <t>Shonen</t>
  </si>
  <si>
    <t>Finished Airing</t>
  </si>
  <si>
    <t>Action|Adventure|Comedy|Super Power|Martial Arts</t>
  </si>
  <si>
    <t>https://www.netflix.com/title/70205012</t>
  </si>
  <si>
    <t>https://www.crunchyroll.com/series/GR79MM93Y/naruto</t>
  </si>
  <si>
    <t>https://www.hulu.com/series/naruto-6ff9a8a2-0f95-4b2a-9f6b-2a5b5e5b5e5b</t>
  </si>
  <si>
    <t>https://cdn.myanimelist.net/images/anime/1141/142503.jpg</t>
  </si>
  <si>
    <t>Naruto: Shippuden</t>
  </si>
  <si>
    <t>https://www.hulu.com/series/naruto-shippuden-9a9a9a9a-9a9a-9a9a-9a9a-9a9a9a9a9a9a</t>
  </si>
  <si>
    <t>https://cdn.myanimelist.net/images/anime/1565/111305.jpg</t>
  </si>
  <si>
    <t>Dragon Ball</t>
  </si>
  <si>
    <t>Action|Adventure|Comedy|Fantasy|Martial Arts|Super Power</t>
  </si>
  <si>
    <t>https://www.crunchyroll.com/series/GRMG8ZQZR/dragon-ball</t>
  </si>
  <si>
    <t>https://www.funimation.com/shows/dragon-ball/</t>
  </si>
  <si>
    <t>https://cdn.myanimelist.net/images/anime/1887/92364.jpg</t>
  </si>
  <si>
    <t>Dragon Ball Z</t>
  </si>
  <si>
    <t>https://www.funimation.com/shows/dragon-ball-z/</t>
  </si>
  <si>
    <t>https://cdn.myanimelist.net/images/anime/1277/142022.jpg</t>
  </si>
  <si>
    <t>Dragon Ball Super</t>
  </si>
  <si>
    <t>https://www.funimation.com/shows/dragon-ball-super/</t>
  </si>
  <si>
    <t>https://cdn.myanimelist.net/images/anime/7/74606.jpg</t>
  </si>
  <si>
    <t>One Piece</t>
  </si>
  <si>
    <t>Currently Airing</t>
  </si>
  <si>
    <t>Action|Adventure|Comedy|Drama|Fantasy</t>
  </si>
  <si>
    <t>https://www.netflix.com/title/80217863</t>
  </si>
  <si>
    <t>https://www.crunchyroll.com/series/GRMG8ZQZY/one-piece</t>
  </si>
  <si>
    <t>https://www.funimation.com/shows/one-piece/</t>
  </si>
  <si>
    <t>https://cdn.myanimelist.net/images/anime/1770/97704.jpg</t>
  </si>
  <si>
    <t>Bleach</t>
  </si>
  <si>
    <t>Action|Adventure|Comedy|Super Power|Supernatural</t>
  </si>
  <si>
    <t>https://www.netflix.com/title/70204970</t>
  </si>
  <si>
    <t>https://www.crunchyroll.com/series/GR751KNZY/bleach</t>
  </si>
  <si>
    <t>https://www.hulu.com/series/bleach-9a9a9a9a-9a9a-9a9a-9a9a-9a9a9a9a9a9a</t>
  </si>
  <si>
    <t>https://cdn.myanimelist.net/images/anime/1541/147774.jpg</t>
  </si>
  <si>
    <t>Bleach: Thousand-Year Blood War</t>
  </si>
  <si>
    <t>Action|Adventure|Super Power|Supernatural</t>
  </si>
  <si>
    <t>https://www.hulu.com/series/bleach-thousand-year-blood-war-9a9a9a9a-9a9a-9a9a-9a9a-9a9a9a9a9a9a</t>
  </si>
  <si>
    <t>https://www.disneyplus.com/series/bleach-thousand-year-blood-war/9a9a9a9a9a9a</t>
  </si>
  <si>
    <t>https://cdn.myanimelist.net/images/anime/1908/135431.jpg</t>
  </si>
  <si>
    <t>Attack on Titan Season 1</t>
  </si>
  <si>
    <t>Seinen</t>
  </si>
  <si>
    <t>Action|Drama|Fantasy|Military|Mystery|Super Power</t>
  </si>
  <si>
    <t>https://www.crunchyroll.com/series/GR751KNZY/attack-on-titan</t>
  </si>
  <si>
    <t>https://www.hulu.com/series/attack-on-titan-9a9a9a9a-9a9a-9a9a-9a9a-9a9a9a9a9a9a</t>
  </si>
  <si>
    <t>https://www.funimation.com/shows/attack-on-titan/</t>
  </si>
  <si>
    <t>https://cdn.myanimelist.net/images/anime/1000/110531.jpg</t>
  </si>
  <si>
    <t>Attack on Titan Season 2</t>
  </si>
  <si>
    <t>https://cdn.myanimelist.net/images/anime/4/84177.jpg</t>
  </si>
  <si>
    <t>Attack on Titan Season 3</t>
  </si>
  <si>
    <t>https://cdn.myanimelist.net/images/anime/1173/92110.jpg</t>
  </si>
  <si>
    <t>Attack on Titan: The Final Season</t>
  </si>
  <si>
    <t>https://cdn.myanimelist.net/images/anime/1279/131078.jpg</t>
  </si>
  <si>
    <t>Attack on Titan: The Final Season Part 2</t>
  </si>
  <si>
    <t>https://cdn.myanimelist.net/images/anime/1948/120625.jpg</t>
  </si>
  <si>
    <t>Vinland Saga Season 1</t>
  </si>
  <si>
    <t>Action|Adventure|Drama|Historical</t>
  </si>
  <si>
    <t>https://www.netflix.com/title/81249833</t>
  </si>
  <si>
    <t>https://www.amazon.com/Vinland-Saga-Season-1/dp/B07VGRJDFY</t>
  </si>
  <si>
    <t>https://cdn.myanimelist.net/images/anime/1170/124312.jpg</t>
  </si>
  <si>
    <t>Vinland Saga Season 2</t>
  </si>
  <si>
    <t>https://www.amazon.com/Vinland-Saga-Season-2/dp/B0BRNXF6XJ</t>
  </si>
  <si>
    <t>Demon Slayer: Kimetsu no Yaiba</t>
  </si>
  <si>
    <t>Action|Adventure|Demons|Historical|Supernatural</t>
  </si>
  <si>
    <t>https://www.netflix.com/title/81091393</t>
  </si>
  <si>
    <t>https://www.crunchyroll.com/series/GY5P48XEY/demon-slayer-kimetsu-no-yaiba</t>
  </si>
  <si>
    <t>https://www.hulu.com/series/demon-slayer-kimetsu-no-yaiba-9a9a9a9a-9a9a-9a9a-9a9a-9a9a9a9a9a9a</t>
  </si>
  <si>
    <t>https://www.funimation.com/shows/demon-slayer-kimetsu-no-yaiba/</t>
  </si>
  <si>
    <t>https://cdn.myanimelist.net/images/anime/1286/99889.jpg</t>
  </si>
  <si>
    <t>Demon Slayer: Kimetsu no Yaiba - Entertainment District Arc</t>
  </si>
  <si>
    <t>https://cdn.myanimelist.net/images/anime/1908/120036.jpg</t>
  </si>
  <si>
    <t>Demon Slayer: Kimetsu no Yaiba - Swordsmith Village Arc</t>
  </si>
  <si>
    <t>https://cdn.myanimelist.net/images/anime/1765/135099.jpg</t>
  </si>
  <si>
    <t>Jujutsu Kaisen</t>
  </si>
  <si>
    <t>Action|Demons|Horror|Supernatural|School</t>
  </si>
  <si>
    <t>https://www.netflix.com/title/81278456</t>
  </si>
  <si>
    <t>https://www.crunchyroll.com/series/GRDV0019R/jujutsu-kaisen</t>
  </si>
  <si>
    <t>https://www.hulu.com/series/jujutsu-kaisen-9a9a9a9a-9a9a-9a9a-9a9a-9a9a9a9a9a9a</t>
  </si>
  <si>
    <t>https://cdn.myanimelist.net/images/anime/1171/109222.jpg</t>
  </si>
  <si>
    <t>Jujutsu Kaisen Season 2</t>
  </si>
  <si>
    <t>https://cdn.myanimelist.net/images/anime/1792/138022.jpg</t>
  </si>
  <si>
    <t>Hunter x Hunter (2011)</t>
  </si>
  <si>
    <t>Action|Adventure|Fantasy</t>
  </si>
  <si>
    <t>https://www.crunchyroll.com/series/GR751KNZY/hunter-x-hunter</t>
  </si>
  <si>
    <t>https://www.hulu.com/series/hunter-x-hunter-9a9a9a9a-9a9a-9a9a-9a9a-9a9a9a9a9a9a</t>
  </si>
  <si>
    <t>https://cdn.myanimelist.net/images/anime/1337/99013.jpg</t>
  </si>
  <si>
    <t>My Hero Academia Season 1</t>
  </si>
  <si>
    <t>Action|Comedy|School|Super Power</t>
  </si>
  <si>
    <t>https://www.crunchyroll.com/series/G6NQ5DWZ6/my-hero-academia</t>
  </si>
  <si>
    <t>https://www.hulu.com/series/my-hero-academia-9a9a9a9a-9a9a-9a9a-9a9a-9a9a9a9a9a9a</t>
  </si>
  <si>
    <t>https://www.funimation.com/shows/my-hero-academia/</t>
  </si>
  <si>
    <t>https://cdn.myanimelist.net/images/anime/12/85221.jpg</t>
  </si>
  <si>
    <t>My Hero Academia Season 2</t>
  </si>
  <si>
    <t>My Hero Academia Season 3</t>
  </si>
  <si>
    <t>https://cdn.myanimelist.net/images/anime/1319/92084.jpg</t>
  </si>
  <si>
    <t>My Hero Academia Season 4</t>
  </si>
  <si>
    <t>https://cdn.myanimelist.net/images/anime/1412/107914.jpg</t>
  </si>
  <si>
    <t>My Hero Academia Season 5</t>
  </si>
  <si>
    <t>https://cdn.myanimelist.net/images/anime/1911/113611.jpg</t>
  </si>
  <si>
    <t>My Hero Academia Season 6</t>
  </si>
  <si>
    <t>https://cdn.myanimelist.net/images/anime/1483/126005.jpg</t>
  </si>
  <si>
    <t>Death Note</t>
  </si>
  <si>
    <t>Mystery|Psychological|Supernatural|Thriller</t>
  </si>
  <si>
    <t>https://www.crunchyroll.com/series/GR751KNZY/death-note</t>
  </si>
  <si>
    <t>https://www.hulu.com/series/death-note-9a9a9a9a-9a9a-9a9a-9a9a-9a9a9a9a9a9a</t>
  </si>
  <si>
    <t>https://cdn.myanimelist.net/images/anime/1079/138100.jpg</t>
  </si>
  <si>
    <t>Fullmetal Alchemist: Brotherhood</t>
  </si>
  <si>
    <t>Action|Adventure|Drama|Fantasy|Magic|Military</t>
  </si>
  <si>
    <t>https://www.netflix.com/title/70204981</t>
  </si>
  <si>
    <t>https://www.crunchyroll.com/series/GRGGPG93R/fullmetal-alchemist-brotherhood</t>
  </si>
  <si>
    <t>https://www.hulu.com/series/fullmetal-alchemist-brotherhood-9a9a9a9a-9a9a-9a9a-9a9a-9a9a9a9a9a9a</t>
  </si>
  <si>
    <t>https://www.funimation.com/shows/fullmetal-alchemist-brotherhood/</t>
  </si>
  <si>
    <t>https://cdn.myanimelist.net/images/anime/1208/94745.jpg</t>
  </si>
  <si>
    <t>Tokyo Revengers</t>
  </si>
  <si>
    <t>Action|Drama|Supernatural</t>
  </si>
  <si>
    <t>https://www.crunchyroll.com/series/GRDV0019R/tokyo-revengers</t>
  </si>
  <si>
    <t>https://www.hulu.com/series/tokyo-revengers-9a9a9a9a-9a9a-9a9a-9a9a-9a9a9a9a9a9a</t>
  </si>
  <si>
    <t>https://cdn.myanimelist.net/images/anime/1839/122012.jpg</t>
  </si>
  <si>
    <t>Tokyo Revengers: Christmas Showdown</t>
  </si>
  <si>
    <t>https://cdn.myanimelist.net/images/anime/1773/132313.jpg</t>
  </si>
  <si>
    <t>Chainsaw Man</t>
  </si>
  <si>
    <t>Action|Horror|Supernatural</t>
  </si>
  <si>
    <t>https://www.crunchyroll.com/series/GRDV0019R/chainsaw-man</t>
  </si>
  <si>
    <t>https://www.hulu.com/series/chainsaw-man-9a9a9a9a-9a9a-9a9a-9a9a-9a9a9a9a9a9a</t>
  </si>
  <si>
    <t>https://cdn.myanimelist.net/images/anime/1806/126216.jpg</t>
  </si>
  <si>
    <t>Black Clover</t>
  </si>
  <si>
    <t>Action|Comedy|Fantasy|Magic</t>
  </si>
  <si>
    <t>https://www.crunchyroll.com/series/GR751KNZY/black-clover</t>
  </si>
  <si>
    <t>https://www.hulu.com/series/black-clover-9a9a9a9a-9a9a-9a9a-9a9a-9a9a9a9a9a9a</t>
  </si>
  <si>
    <t>https://www.funimation.com/shows/black-clover/</t>
  </si>
  <si>
    <t>https://cdn.myanimelist.net/images/anime/2/88336.jpg</t>
  </si>
  <si>
    <t>Fairy Tail</t>
  </si>
  <si>
    <t>Action|Adventure|Comedy|Fantasy|Magic</t>
  </si>
  <si>
    <t>https://www.crunchyroll.com/series/GR751KNZY/fairy-tail</t>
  </si>
  <si>
    <t>https://www.hulu.com/series/fairy-tail-9a9a9a9a-9a9a-9a9a-9a9a-9a9a9a9a9a9a</t>
  </si>
  <si>
    <t>https://www.funimation.com/shows/fairy-tail/</t>
  </si>
  <si>
    <t>https://cdn.myanimelist.net/images/anime/5/18179.jpg</t>
  </si>
  <si>
    <t>Sword Art Online</t>
  </si>
  <si>
    <t>Action|Adventure|Fantasy|Game|Romance</t>
  </si>
  <si>
    <t>https://www.netflix.com/title/80050063</t>
  </si>
  <si>
    <t>https://www.crunchyroll.com/series/GR751KNZY/sword-art-online</t>
  </si>
  <si>
    <t>https://www.hulu.com/series/sword-art-online-9a9a9a9a-9a9a-9a9a-9a9a-9a9a9a9a9a9a</t>
  </si>
  <si>
    <t>https://cdn.myanimelist.net/images/anime/11/39717.jpg</t>
  </si>
  <si>
    <t>Sword Art Online II</t>
  </si>
  <si>
    <t>https://cdn.myanimelist.net/images/anime/1223/121999.jpg</t>
  </si>
  <si>
    <t>Sword Art Online: Alicization</t>
  </si>
  <si>
    <t>https://cdn.myanimelist.net/images/anime/1993/93837.jpg</t>
  </si>
  <si>
    <t>Steins;Gate</t>
  </si>
  <si>
    <t>Sci-Fi|Psychological|Thriller</t>
  </si>
  <si>
    <t>https://www.crunchyroll.com/series/GR751KNZY/steinsgate</t>
  </si>
  <si>
    <t>https://www.hulu.com/series/steinsgate-9a9a9a9a-9a9a-9a9a-9a9a-9a9a9a9a9a9a</t>
  </si>
  <si>
    <t>https://www.funimation.com/shows/steinsgate/</t>
  </si>
  <si>
    <t>https://cdn.myanimelist.net/images/anime/1935/127974.jpg</t>
  </si>
  <si>
    <t>Steins;Gate 0</t>
  </si>
  <si>
    <t>https://cdn.myanimelist.net/images/anime/1375/93521.jpg</t>
  </si>
  <si>
    <t>Re:Zero - Starting Life in Another World Season 1</t>
  </si>
  <si>
    <t>Light Novel</t>
  </si>
  <si>
    <t>Drama|Fantasy|Psychological|Thriller</t>
  </si>
  <si>
    <t>https://www.crunchyroll.com/series/GRDV0019R/rezero-starting-life-in-another-world</t>
  </si>
  <si>
    <t>https://www.hulu.com/series/rezero-starting-life-in-another-world-9a9a9a9a-9a9a-9a9a-9a9a-9a9a9a9a9a9a</t>
  </si>
  <si>
    <t>https://cdn.myanimelist.net/images/anime/1706/144725.jpg</t>
  </si>
  <si>
    <t>Re:Zero - Starting Life in Another World Season 2</t>
  </si>
  <si>
    <t>https://cdn.myanimelist.net/images/anime/1444/108005.jpg</t>
  </si>
  <si>
    <t>The Rising of the Shield Hero Season 1</t>
  </si>
  <si>
    <t>Action|Adventure|Drama|Fantasy</t>
  </si>
  <si>
    <t>https://www.crunchyroll.com/series/GRDV0019R/the-rising-of-the-shield-hero</t>
  </si>
  <si>
    <t>https://www.funimation.com/shows/the-rising-of-the-shield-hero/</t>
  </si>
  <si>
    <t>https://cdn.myanimelist.net/images/anime/1317/139802.jpg</t>
  </si>
  <si>
    <t>The Rising of the Shield Hero Season 2</t>
  </si>
  <si>
    <t>https://cdn.myanimelist.net/images/anime/1143/121873.jpg</t>
  </si>
  <si>
    <t>The Rising of the Shield Hero Season 3</t>
  </si>
  <si>
    <t>Mushoku Tensei: Jobless Reincarnation Season 1</t>
  </si>
  <si>
    <t>Adventure|Drama|Fantasy|Ecchi</t>
  </si>
  <si>
    <t>https://www.hulu.com/series/mushoku-tensei-jobless-reincarnation-9a9a9a9a-9a9a-9a9a-9a9a-9a9a9a9a9a9a</t>
  </si>
  <si>
    <t>https://www.funimation.com/shows/mushoku-tensei-jobless-reincarnation/</t>
  </si>
  <si>
    <t>https://cdn.myanimelist.net/images/anime/1898/138005.jpg</t>
  </si>
  <si>
    <t>Mushoku Tensei: Jobless Reincarnation Season 2</t>
  </si>
  <si>
    <t>https://www.crunchyroll.com/series/GRDV0019R/mushoku-tensei-jobless-reincarnation</t>
  </si>
  <si>
    <t>That Time I Got Reincarnated as a Slime Season 1</t>
  </si>
  <si>
    <t>Action|Adventure|Comedy|Fantasy</t>
  </si>
  <si>
    <t>https://www.crunchyroll.com/series/GRDV0019R/that-time-i-got-reincarnated-as-a-slime</t>
  </si>
  <si>
    <t>https://www.hulu.com/series/that-time-i-got-reincarnated-as-a-slime-9a9a9a9a-9a9a-9a9a-9a9a-9a9a9a9a9a9a</t>
  </si>
  <si>
    <t>https://www.funimation.com/shows/that-time-i-got-reincarnated-as-a-slime/</t>
  </si>
  <si>
    <t>https://cdn.myanimelist.net/images/anime/1271/109841.jpg</t>
  </si>
  <si>
    <t>That Time I Got Reincarnated as a Slime Season 2</t>
  </si>
  <si>
    <t>That Time I Got Reincarnated as a Slime Season 3</t>
  </si>
  <si>
    <t>https://cdn.myanimelist.net/images/anime/1211/143476.jpg</t>
  </si>
  <si>
    <t>Overlord Season 1</t>
  </si>
  <si>
    <t>Action|Adventure|Fantasy|Supernatural</t>
  </si>
  <si>
    <t>https://www.crunchyroll.com/series/GR751KNZY/overlord</t>
  </si>
  <si>
    <t>https://www.hulu.com/series/overlord-9a9a9a9a-9a9a-9a9a-9a9a-9a9a9a9a9a9a</t>
  </si>
  <si>
    <t>https://www.funimation.com/shows/overlord/</t>
  </si>
  <si>
    <t>https://cdn.myanimelist.net/images/anime/1270/138692.jpg</t>
  </si>
  <si>
    <t>Overlord Season 2</t>
  </si>
  <si>
    <t>Overlord Season 3</t>
  </si>
  <si>
    <t>https://cdn.myanimelist.net/images/anime/1070/156613.jpg</t>
  </si>
  <si>
    <t>Overlord Season 4</t>
  </si>
  <si>
    <t>Code Geass: Lelouch of the Rebellion</t>
  </si>
  <si>
    <t>Original</t>
  </si>
  <si>
    <t>Action|Drama|Mecha|Military|Sci-Fi|Supernatural</t>
  </si>
  <si>
    <t>https://www.netflix.com/title/80065118</t>
  </si>
  <si>
    <t>https://www.crunchyroll.com/series/GRMG8ZQZR/code-geass-lelouch-of-the-rebellion</t>
  </si>
  <si>
    <t>https://www.hulu.com/series/code-geass-lelouch-of-the-rebellion-9a9a9a9a-9a9a-9a9a-9a9a-9a9a9a9a9a9a</t>
  </si>
  <si>
    <t>https://www.funimation.com/shows/code-geass/</t>
  </si>
  <si>
    <t>https://cdn.myanimelist.net/images/anime/1032/135088.jpg</t>
  </si>
  <si>
    <t>Code Geass: Lelouch of the Rebellion R2</t>
  </si>
  <si>
    <t>https://cdn.myanimelist.net/images/anime/1088/135089.jpg</t>
  </si>
  <si>
    <t>Cowboy Bebop</t>
  </si>
  <si>
    <t>Action|Adventure|Comedy|Drama|Sci-Fi|Space</t>
  </si>
  <si>
    <t>https://www.netflix.com/title/80001345</t>
  </si>
  <si>
    <t>https://www.crunchyroll.com/series/GRQNVGK3Y/cowboy-bebop</t>
  </si>
  <si>
    <t>https://www.hulu.com/series/cowboy-bebop-9a9a9a9a-9a9a-9a9a-9a9a-9a9a9a9a9a9a</t>
  </si>
  <si>
    <t>https://www.funimation.com/shows/cowboy-bebop/</t>
  </si>
  <si>
    <t>https://cdn.myanimelist.net/images/anime/4/19644.jpg</t>
  </si>
  <si>
    <t>Neon Genesis Evangelion</t>
  </si>
  <si>
    <t>Action|Drama|Mecha|Psychological|Sci-Fi</t>
  </si>
  <si>
    <t>https://www.netflix.com/title/81033445</t>
  </si>
  <si>
    <t>https://cdn.myanimelist.net/images/anime/1314/108941.jpg</t>
  </si>
  <si>
    <t>Neon Genesis Evangelion: The End of Evangelion</t>
  </si>
  <si>
    <t>Movie</t>
  </si>
  <si>
    <t>https://cdn.myanimelist.net/images/anime/1404/98182.jpg</t>
  </si>
  <si>
    <t>Berserk</t>
  </si>
  <si>
    <t>Action|Adventure|Drama|Fantasy|Horror|Military|Supernatural</t>
  </si>
  <si>
    <t>https://www.crunchyroll.com/series/GR751KNZY/berserk</t>
  </si>
  <si>
    <t>https://cdn.myanimelist.net/images/anime/10/79352.jpg</t>
  </si>
  <si>
    <t>JoJo's Bizarre Adventure</t>
  </si>
  <si>
    <t>Action|Adventure|Supernatural</t>
  </si>
  <si>
    <t>https://www.netflix.com/title/80179831</t>
  </si>
  <si>
    <t>https://www.crunchyroll.com/series/GRQNVGK3Y/jojos-bizarre-adventure</t>
  </si>
  <si>
    <t>https://cdn.myanimelist.net/images/anime/3/40409.jpg</t>
  </si>
  <si>
    <t>JoJo's Bizarre Adventure: Stardust Crusaders</t>
  </si>
  <si>
    <t>https://www.crunchyroll.com/series/GR19VEX06/jojos-bizarre-adventure-stardust-crusaders</t>
  </si>
  <si>
    <t>https://cdn.myanimelist.net/images/anime/11/55267.jpg</t>
  </si>
  <si>
    <t>JoJo's Bizarre Adventure: Diamond Is Unbreakable</t>
  </si>
  <si>
    <t>https://www.crunchyroll.com/series/GR19VEX06/jojos-bizarre-adventure-diamond-is-unbreakable</t>
  </si>
  <si>
    <t>https://cdn.myanimelist.net/images/anime/3/79156.jpg</t>
  </si>
  <si>
    <t>JoJo's Bizarre Adventure: Golden Wind</t>
  </si>
  <si>
    <t>https://www.crunchyroll.com/series/GR19VEX06/jojos-bizarre-adventure-golden-wind</t>
  </si>
  <si>
    <t>https://cdn.myanimelist.net/images/anime/1882/94989.jpg</t>
  </si>
  <si>
    <t>JoJo's Bizarre Adventure: Stone Ocean</t>
  </si>
  <si>
    <t>https://cdn.myanimelist.net/images/anime/1896/119844.jpg</t>
  </si>
  <si>
    <t>Haikyuu!!</t>
  </si>
  <si>
    <t>Sports|Comedy|Drama|School</t>
  </si>
  <si>
    <t>https://www.netflix.com/title/80090673</t>
  </si>
  <si>
    <t>https://www.crunchyroll.com/series/GR751KNZY/haikyu</t>
  </si>
  <si>
    <t>https://cdn.myanimelist.net/images/anime/7/76014.jpg</t>
  </si>
  <si>
    <t>Haikyuu!! Second Season</t>
  </si>
  <si>
    <t>https://www.netflix.com/title/80090674</t>
  </si>
  <si>
    <t>https://cdn.myanimelist.net/images/anime/9/76662.jpg</t>
  </si>
  <si>
    <t>Haikyuu!! Third Season</t>
  </si>
  <si>
    <t>https://www.netflix.com/title/80186926</t>
  </si>
  <si>
    <t>https://cdn.myanimelist.net/images/anime/7/81992.jpg</t>
  </si>
  <si>
    <t>Haikyuu!! To the Top</t>
  </si>
  <si>
    <t>https://www.netflix.com/title/81037582</t>
  </si>
  <si>
    <t>https://cdn.myanimelist.net/images/anime/1813/105367.jpg</t>
  </si>
  <si>
    <t>Kuroko's Basketball</t>
  </si>
  <si>
    <t>Sports|Comedy|School</t>
  </si>
  <si>
    <t>https://www.netflix.com/title/70299043</t>
  </si>
  <si>
    <t>https://www.crunchyroll.com/series/GY8VM8WGY/kurokos-basketball</t>
  </si>
  <si>
    <t>https://cdn.myanimelist.net/images/anime/11/50453.jpg</t>
  </si>
  <si>
    <t>Kuroko's Basketball 2</t>
  </si>
  <si>
    <t>https://www.netflix.com/title/70301896</t>
  </si>
  <si>
    <t>https://cdn.myanimelist.net/images/anime/9/56155.jpg</t>
  </si>
  <si>
    <t>Kuroko's Basketball 3</t>
  </si>
  <si>
    <t>https://cdn.myanimelist.net/images/anime/4/68299.jpg</t>
  </si>
  <si>
    <t>Blue Lock</t>
  </si>
  <si>
    <t>Sports|Action|Psychological</t>
  </si>
  <si>
    <t>https://www.crunchyroll.com/series/G4PH0WXVJ/blue-lock</t>
  </si>
  <si>
    <t>https://cdn.myanimelist.net/images/anime/1258/126929.jpg</t>
  </si>
  <si>
    <t>Dr. Stone</t>
  </si>
  <si>
    <t>Adventure|Comedy|Sci-Fi</t>
  </si>
  <si>
    <t>https://www.crunchyroll.com/series/GRDV0019R/dr-stone</t>
  </si>
  <si>
    <t>https://www.funimation.com/shows/dr-stone/</t>
  </si>
  <si>
    <t>https://cdn.myanimelist.net/images/anime/1613/102576.jpg</t>
  </si>
  <si>
    <t>Spy x Family</t>
  </si>
  <si>
    <t>Action|Comedy|Slice of Life</t>
  </si>
  <si>
    <t>https://www.crunchyroll.com/series/G4PH0WQ4Y/spy-x-family</t>
  </si>
  <si>
    <t>https://www.hulu.com/series/spy-x-family-df383b0a-1c3e-4e2b-9f0a-7a0b5e8b0b1a</t>
  </si>
  <si>
    <t>https://cdn.myanimelist.net/images/anime/1441/122795.jpg</t>
  </si>
  <si>
    <t>Mob Psycho 100</t>
  </si>
  <si>
    <t>Action|Comedy|Supernatural</t>
  </si>
  <si>
    <t>https://www.crunchyroll.com/series/GRG51K806/mob-psycho-100</t>
  </si>
  <si>
    <t>https://www.funimation.com/shows/mob-psycho-100/</t>
  </si>
  <si>
    <t>https://cdn.myanimelist.net/images/anime/8/80356.jpg</t>
  </si>
  <si>
    <t>Mob Psycho 100 II</t>
  </si>
  <si>
    <t>https://cdn.myanimelist.net/images/anime/1918/96303.jpg</t>
  </si>
  <si>
    <t>Mob Psycho 100 III</t>
  </si>
  <si>
    <t>https://cdn.myanimelist.net/images/anime/1228/125011.jpg</t>
  </si>
  <si>
    <t>The Promised Neverland</t>
  </si>
  <si>
    <t>Mystery|Horror|Psychological|Thriller</t>
  </si>
  <si>
    <t>https://www.crunchyroll.com/series/GY5P48XEY/the-promised-neverland</t>
  </si>
  <si>
    <t>https://www.hulu.com/series/the-promised-neverland-5c3c3e3a-9b3a-4b3a-8b3a-3b3a3b3a3b3a</t>
  </si>
  <si>
    <t>https://cdn.myanimelist.net/images/anime/1830/118780.jpg</t>
  </si>
  <si>
    <t>The Promised Neverland Season 2</t>
  </si>
  <si>
    <t>https://www.crunchyroll.com/series/GRDV0019R/the-promised-neverland</t>
  </si>
  <si>
    <t>https://www.hulu.com/series/the-promised-neverland-2c64a7e4-2f0b-4b5c-9b9a-0b9b9b9b9b9b</t>
  </si>
  <si>
    <t>https://cdn.myanimelist.net/images/anime/1815/110626.jpg</t>
  </si>
  <si>
    <t>Fire Force</t>
  </si>
  <si>
    <t>Action|Supernatural</t>
  </si>
  <si>
    <t>https://www.crunchyroll.com/series/GY5P48XEY/fire-force</t>
  </si>
  <si>
    <t>https://www.funimation.com/shows/fire-force/</t>
  </si>
  <si>
    <t>https://cdn.myanimelist.net/images/anime/1664/103275.jpg</t>
  </si>
  <si>
    <t>Fire Force Season 2</t>
  </si>
  <si>
    <t>https://cdn.myanimelist.net/images/anime/1673/107657.jpg</t>
  </si>
  <si>
    <t>Soul Eater</t>
  </si>
  <si>
    <t>Action|Comedy|Fantasy|Supernatural</t>
  </si>
  <si>
    <t>https://www.hulu.com/series/soul-eater-5b5b5b5b-5b5b-5b5b-5b5b-5b5b5b5b5b5b</t>
  </si>
  <si>
    <t>https://www.funimation.com/shows/soul-eater/</t>
  </si>
  <si>
    <t>https://cdn.myanimelist.net/images/anime/1071/149486.jpg</t>
  </si>
  <si>
    <t>Noragami</t>
  </si>
  <si>
    <t>https://www.crunchyroll.com/series/G6X3JVD0Y/noragami</t>
  </si>
  <si>
    <t>https://www.hulu.com/series/noragami-5b5b5b5b-5b5b-5b5b-5b5b-5b5b5b5b5b5b</t>
  </si>
  <si>
    <t>https://cdn.myanimelist.net/images/anime/1886/128266.jpg</t>
  </si>
  <si>
    <t>Noragami Aragoto</t>
  </si>
  <si>
    <t>https://www.hulu.com/series/noragami-aragoto-5b5b5b5b-5b5b-5b5b-5b5b-5b5b5b5b5b5b</t>
  </si>
  <si>
    <t>https://cdn.myanimelist.net/images/anime/1689/94850.jpg</t>
  </si>
  <si>
    <t>Parasyte: The Maxim</t>
  </si>
  <si>
    <t>Action|Horror|Psychological|Sci-Fi</t>
  </si>
  <si>
    <t>https://www.crunchyroll.com/series/GY5P48XEY/parasyte-the-maxim</t>
  </si>
  <si>
    <t>https://www.hulu.com/series/parasyte-the-maxim-5b5b5b5b-5b5b-5b5b-5b5b-5b5b5b5b5b5b</t>
  </si>
  <si>
    <t>https://cdn.myanimelist.net/images/anime/3/73178.jpg</t>
  </si>
  <si>
    <t>Psycho Pass</t>
  </si>
  <si>
    <t>Action|Mystery|Psychological|Sci-Fi</t>
  </si>
  <si>
    <t>https://www.crunchyroll.com/series/GY5P48XEY/psycho-pass</t>
  </si>
  <si>
    <t>https://www.funimation.com/shows/psycho-pass/</t>
  </si>
  <si>
    <t>https://cdn.myanimelist.net/images/anime/1314/142015.jpg</t>
  </si>
  <si>
    <t>Psycho Pass 2</t>
  </si>
  <si>
    <t>https://cdn.myanimelist.net/images/anime/1197/100616.jpg</t>
  </si>
  <si>
    <t>Psycho Pass 3</t>
  </si>
  <si>
    <t>https://www.amazon.com/Psycho-Pass-3-Season-1/dp/B07ZQZQZQZ</t>
  </si>
  <si>
    <t>https://cdn.myanimelist.net/images/anime/1406/104344.jpg</t>
  </si>
  <si>
    <t>Erased</t>
  </si>
  <si>
    <t>Mystery|Psychological|Supernatural</t>
  </si>
  <si>
    <t>https://www.crunchyroll.com/series/GY5P48XEY/erased</t>
  </si>
  <si>
    <t>https://www.hulu.com/series/erased-5b5b5b5b-5b5b-5b5b-5b5b-5b5b5b5b5b5b</t>
  </si>
  <si>
    <t>https://cdn.myanimelist.net/images/anime/10/77957.jpg</t>
  </si>
  <si>
    <t>Made in Abyss</t>
  </si>
  <si>
    <t>Adventure|Drama|Fantasy|Mystery|Sci-Fi</t>
  </si>
  <si>
    <t>https://www.amazon.com/Made-in-Abyss-Season-1/dp/B07ZQZQZQZ</t>
  </si>
  <si>
    <t>https://www.hidive.com/tv/made-in-abyss</t>
  </si>
  <si>
    <t>https://cdn.myanimelist.net/images/anime/6/86733.jpg</t>
  </si>
  <si>
    <t>Made in Abyss: Dawn of the Deep Soul</t>
  </si>
  <si>
    <t>https://www.amazon.com/Made-in-Abyss-Dawn-of-the-Deep-Soul/dp/B07ZQZQZQZ</t>
  </si>
  <si>
    <t>https://cdn.myanimelist.net/images/anime/1803/117183.jpg</t>
  </si>
  <si>
    <t>Made in Abyss: The Golden City of the Scorching Sun</t>
  </si>
  <si>
    <t>https://www.hidive.com/tv/made-in-abyss-the-golden-city-of-the-scorching-sun</t>
  </si>
  <si>
    <t>https://cdn.myanimelist.net/images/anime/1874/125099.jpg</t>
  </si>
  <si>
    <t>The Devil Is a Part-Timer!</t>
  </si>
  <si>
    <t>Comedy|Fantasy</t>
  </si>
  <si>
    <t>https://www.crunchyroll.com/series/GY5P48XEY/the-devil-is-a-part-timer</t>
  </si>
  <si>
    <t>https://www.funimation.com/shows/the-devil-is-a-part-timer/</t>
  </si>
  <si>
    <t>https://cdn.myanimelist.net/images/anime/3/50177.jpg</t>
  </si>
  <si>
    <t>The Devil Is a Part-Timer! Season 2</t>
  </si>
  <si>
    <t>https://cdn.myanimelist.net/images/anime/1502/124354.jpg</t>
  </si>
  <si>
    <t>No Game No Life</t>
  </si>
  <si>
    <t>Adventure|Comedy|Ecchi|Fantasy</t>
  </si>
  <si>
    <t>https://www.hidive.com/tv/no-game-no-life</t>
  </si>
  <si>
    <t>https://cdn.myanimelist.net/images/anime/1074/111944.jpg</t>
  </si>
  <si>
    <t>No Game No Life: Zero</t>
  </si>
  <si>
    <t>Adventure|Drama|Fantasy|Romance</t>
  </si>
  <si>
    <t>https://www.hidive.com/movies/no-game-no-life-zero</t>
  </si>
  <si>
    <t>https://cdn.myanimelist.net/images/anime/1085/90759.jpg</t>
  </si>
  <si>
    <t>Konosuba: God's Blessing on This Wonderful World!</t>
  </si>
  <si>
    <t>Adventure|Comedy|Fantasy|Parody</t>
  </si>
  <si>
    <t>https://www.crunchyroll.com/series/GY5P48XEY/konosuba-gods-blessing-on-this-wonderful-world</t>
  </si>
  <si>
    <t>https://cdn.myanimelist.net/images/anime/1895/142748.jpg</t>
  </si>
  <si>
    <t>Konosuba: God's Blessing on This Wonderful World! 2</t>
  </si>
  <si>
    <t>https://cdn.myanimelist.net/images/anime/2/83188.jpg</t>
  </si>
  <si>
    <t>Konosuba: Legend of Crimson</t>
  </si>
  <si>
    <t>https://www.crunchyroll.com/movies/konosuba-legend-of-crimson</t>
  </si>
  <si>
    <t>https://cdn.myanimelist.net/images/anime/1638/119321.jpg</t>
  </si>
  <si>
    <t>Konosuba: An Explosion on This Wonderful World!</t>
  </si>
  <si>
    <t>Adventure|Comedy|Fantasy</t>
  </si>
  <si>
    <t>https://www.crunchyroll.com/series/GY5P48XEY/konosuba-an-explosion-on-this-wonderful-world</t>
  </si>
  <si>
    <t>https://cdn.myanimelist.net/images/anime/1626/135844.jpg</t>
  </si>
  <si>
    <t>The Saga of Tanya the Evil</t>
  </si>
  <si>
    <t>Action|Fantasy|Military</t>
  </si>
  <si>
    <t>https://www.crunchyroll.com/series/GY5P48XEY/the-saga-of-tanya-the-evil</t>
  </si>
  <si>
    <t>https://cdn.myanimelist.net/images/anime/5/82890.jpg</t>
  </si>
  <si>
    <t>The Saga of Tanya the Evil: The Movie</t>
  </si>
  <si>
    <t>https://www.crunchyroll.com/movies/the-saga-of-tanya-the-evil-the-movie</t>
  </si>
  <si>
    <t>https://cdn.myanimelist.net/images/anime/1249/117182.jpg</t>
  </si>
  <si>
    <t>Reincarnated as a Sword</t>
  </si>
  <si>
    <t>https://www.hidive.com/tv/reincarnated-as-a-sword</t>
  </si>
  <si>
    <t>https://cdn.myanimelist.net/images/anime/1191/127909.jpg</t>
  </si>
  <si>
    <t>The Eminence in Shadow</t>
  </si>
  <si>
    <t>Action|Comedy|Fantasy</t>
  </si>
  <si>
    <t>https://www.hidive.com/tv/the-eminence-in-shadow</t>
  </si>
  <si>
    <t>https://cdn.myanimelist.net/images/anime/1091/128729.jpg</t>
  </si>
  <si>
    <t>Log Horizon</t>
  </si>
  <si>
    <t>Action|Adventure|Fantasy|Game</t>
  </si>
  <si>
    <t>https://www.crunchyroll.com/series/GY5P48XEY/log-horizon</t>
  </si>
  <si>
    <t>https://cdn.myanimelist.net/images/anime/5/84004.jpg</t>
  </si>
  <si>
    <t>Log Horizon 2</t>
  </si>
  <si>
    <t>https://cdn.myanimelist.net/images/anime/5/68097.jpg</t>
  </si>
  <si>
    <t>Log Horizon: Destruction of the Round Table</t>
  </si>
  <si>
    <t>https://cdn.myanimelist.net/images/anime/1510/108026.jpg</t>
  </si>
  <si>
    <t>The Irregular at Magic High School</t>
  </si>
  <si>
    <t>Action|Fantasy|Sci-Fi</t>
  </si>
  <si>
    <t>https://www.crunchyroll.com/series/GY5P48XEY/the-irregular-at-magic-high-school</t>
  </si>
  <si>
    <t>https://www.funimation.com/shows/the-irregular-at-magic-high-school/</t>
  </si>
  <si>
    <t>https://cdn.myanimelist.net/images/anime/11/61039.jpg</t>
  </si>
  <si>
    <t>The Irregular at Magic High School: Visitor Arc</t>
  </si>
  <si>
    <t>https://cdn.myanimelist.net/images/anime/1322/114329.jpg</t>
  </si>
  <si>
    <t>The Irregular at Magic High School: Reminiscence Arc</t>
  </si>
  <si>
    <t>Special</t>
  </si>
  <si>
    <t>https://cdn.myanimelist.net/images/anime/1847/120234.jpg</t>
  </si>
  <si>
    <t>Classroom of the Elite</t>
  </si>
  <si>
    <t>Drama|Psychological</t>
  </si>
  <si>
    <t>https://www.crunchyroll.com/series/GY5P48XEY/classroom-of-the-elite</t>
  </si>
  <si>
    <t>https://cdn.myanimelist.net/images/anime/5/86830.jpg</t>
  </si>
  <si>
    <t>Classroom of the Elite II</t>
  </si>
  <si>
    <t>https://cdn.myanimelist.net/images/anime/1010/124180.jpg</t>
  </si>
  <si>
    <t>Classroom of the Elite III</t>
  </si>
  <si>
    <t>https://cdn.myanimelist.net/images/anime/1332/139318.jpg</t>
  </si>
  <si>
    <t>The Misfit of Demon King Academy</t>
  </si>
  <si>
    <t>Action|Fantasy</t>
  </si>
  <si>
    <t>https://www.crunchyroll.com/series/GY5P48XEY/the-misfit-of-demon-king-academy</t>
  </si>
  <si>
    <t>https://cdn.myanimelist.net/images/anime/1126/108573.jpg</t>
  </si>
  <si>
    <t>The Misfit of Demon King Academy II</t>
  </si>
  <si>
    <t>https://cdn.myanimelist.net/images/anime/1369/139553.jpg</t>
  </si>
  <si>
    <t>Horimiya</t>
  </si>
  <si>
    <t>Comedy|Romance|Slice of Life</t>
  </si>
  <si>
    <t>https://www.crunchyroll.com/series/GY5P48XEY/horimiya</t>
  </si>
  <si>
    <t>https://www.funimation.com/shows/horimiya/</t>
  </si>
  <si>
    <t>https://cdn.myanimelist.net/images/anime/1695/111486.jpg</t>
  </si>
  <si>
    <t>Your Lie in April</t>
  </si>
  <si>
    <t>Drama|Music|Romance</t>
  </si>
  <si>
    <t>https://www.crunchyroll.com/series/GY5P48XEY/your-lie-in-april</t>
  </si>
  <si>
    <t>https://cdn.myanimelist.net/images/anime/1405/143284.jpg</t>
  </si>
  <si>
    <t>Dragon Ball Daima</t>
  </si>
  <si>
    <t>https://www.netflix.com/title/81280917</t>
  </si>
  <si>
    <t>https://www.crunchyroll.com/series/GY5P48XEY/dragon-ball-daima</t>
  </si>
  <si>
    <t>https://www.amazon.com/Dragon-Ball-Daima-Season-1/dp/B0CQZQZQZQ</t>
  </si>
  <si>
    <t>https://cdn.myanimelist.net/images/anime/1723/145231.jpg</t>
  </si>
  <si>
    <t>Solo Leveling</t>
  </si>
  <si>
    <t>Webtoon</t>
  </si>
  <si>
    <t>https://www.crunchyroll.com/series/GY5P48XEY/solo-leveling</t>
  </si>
  <si>
    <t>https://cdn.myanimelist.net/images/anime/1801/142390.jpg</t>
  </si>
  <si>
    <t>Demon Slayer: Kimetsu no Yaiba - Hashira Training Arc</t>
  </si>
  <si>
    <t>TBA</t>
  </si>
  <si>
    <t>https://www.hulu.com/series/demon-slayer-kimetsu-no-yaiba-5b5b5b5b-5b5b-5b5b-5b5b-5b5b5b5b5b5b</t>
  </si>
  <si>
    <t>https://cdn.myanimelist.net/images/anime/1565/142711.jpg</t>
  </si>
  <si>
    <t>Fullmetal Alchemist</t>
  </si>
  <si>
    <t>https://www.crunchyroll.com/series/GY5P48XEY/fullmetal-alchemist</t>
  </si>
  <si>
    <t>https://www.hulu.com/series/fullmetal-alchemist-5b5b5b5b-5b5b-5b5b-5b5b-5b5b5b5b5b5b</t>
  </si>
  <si>
    <t>https://www.funimation.com/shows/fullmetal-alchemist/</t>
  </si>
  <si>
    <t>https://cdn.myanimelist.net/images/anime/10/75815.jpg</t>
  </si>
  <si>
    <t>Monster</t>
  </si>
  <si>
    <t>Drama|Mystery|Horror|Psychological|Thriller|Seinen</t>
  </si>
  <si>
    <t>https://cdn.myanimelist.net/images/anime/1648/152231.jpg</t>
  </si>
  <si>
    <t>Gintama</t>
  </si>
  <si>
    <t>Action|Comedy|Historical|Parody|Samurai|Sci-Fi</t>
  </si>
  <si>
    <t>https://www.crunchyroll.com/series/GY5P48XEY/gintama</t>
  </si>
  <si>
    <t>https://www.hulu.com/series/gintama-5b5b5b5b-5b5b-5b5b-5b5b-5b5b5b5b5b5b</t>
  </si>
  <si>
    <t>https://cdn.myanimelist.net/images/anime/4/50361.jpg</t>
  </si>
  <si>
    <t>Hajime no Ippo</t>
  </si>
  <si>
    <t>Action|Comedy|Drama|Sports</t>
  </si>
  <si>
    <t>https://www.crunchyroll.com/series/GY5P48XEY/hajime-no-ippo</t>
  </si>
  <si>
    <t>https://cdn.myanimelist.net/images/anime/4/86334.jpg</t>
  </si>
  <si>
    <t>Dandadan</t>
  </si>
  <si>
    <t>Ongoing</t>
  </si>
  <si>
    <t>Action|Supernatural|Comedy|Romance</t>
  </si>
  <si>
    <t>https://www.crunchyroll.com/series/GY5P48XEY/dandadan</t>
  </si>
  <si>
    <t>https://cdn.myanimelist.net/images/anime/1584/143719.jpg</t>
  </si>
  <si>
    <t>Frieren: Beyond Journey's End - Season 1</t>
  </si>
  <si>
    <t>Fantasy</t>
  </si>
  <si>
    <t>Adventure|Drama|Fantasy</t>
  </si>
  <si>
    <t>https://www.crunchyroll.com/series/GY5P48XEY/frieren-beyond-journeys-end</t>
  </si>
  <si>
    <t>https://cdn.myanimelist.net/images/anime/1921/154528.jpg</t>
  </si>
  <si>
    <t>Trigun Stampede</t>
  </si>
  <si>
    <t>Action</t>
  </si>
  <si>
    <t>Action|Sci-Fi|Western</t>
  </si>
  <si>
    <t>https://www.crunchyroll.com/series/GY5P48XEY/trigun-stampede</t>
  </si>
  <si>
    <t>https://cdn.myanimelist.net/images/anime/1426/129194.jpg</t>
  </si>
  <si>
    <t>One Punch Man - Season 1</t>
  </si>
  <si>
    <t>Action|Comedy|Parody|Superhero|Superpower</t>
  </si>
  <si>
    <t>https://www.netflix.com/title/80097571</t>
  </si>
  <si>
    <t>https://www.crunchyroll.com/series/GY5P48XEY/one-punch-man</t>
  </si>
  <si>
    <t>https://www.hulu.com/series/one-punch-man-5b5b5b5b-5b5b-5b5b-5b5b-5b5b5b5b5b5b</t>
  </si>
  <si>
    <t>https://cdn.myanimelist.net/images/anime/1618/103829.jpg</t>
  </si>
  <si>
    <t>One Punch Man - Season 2</t>
  </si>
  <si>
    <t>https://cdn.myanimelist.net/images/anime/1247/122044.jpg</t>
  </si>
  <si>
    <t>Kaiju No. 8</t>
  </si>
  <si>
    <t>Action|Sci-Fi|Supernatural</t>
  </si>
  <si>
    <t>https://www.crunchyroll.com/series/GY5P48XEY/kaiju-no-8</t>
  </si>
  <si>
    <t>https://cdn.myanimelist.net/images/anime/1370/140362.jpg</t>
  </si>
  <si>
    <t>Pokemon - Season 1: Indigo League</t>
  </si>
  <si>
    <t>Adventure</t>
  </si>
  <si>
    <t>https://www.pokemon.com/us/pokemon-episodes/</t>
  </si>
  <si>
    <t>https://cdn.myanimelist.net/images/anime/1904/140254.jpg</t>
  </si>
  <si>
    <t>Tokyo Ghoul - Season 1</t>
  </si>
  <si>
    <t>Action|Drama|Horror|Psychological|Supernatural</t>
  </si>
  <si>
    <t>https://www.crunchyroll.com/series/GY5P48XEY/tokyo-ghoul</t>
  </si>
  <si>
    <t>https://www.hulu.com/series/tokyo-ghoul-8e7f5a1d-9f3e-4c8e-9b5a-9e9f9b9f9b9f</t>
  </si>
  <si>
    <t>https://www.funimation.com/shows/tokyo-ghoul/</t>
  </si>
  <si>
    <t>https://cdn.myanimelist.net/images/anime/1889/123307.jpg</t>
  </si>
  <si>
    <t>Tokyo Ghoul:re - Season 3</t>
  </si>
  <si>
    <t>https://www.crunchyroll.com/series/GY5P48XEY/tokyo-ghoulre</t>
  </si>
  <si>
    <t>https://www.funimation.com/shows/tokyo-ghoulre/</t>
  </si>
  <si>
    <t>https://cdn.myanimelist.net/images/anime/1545/121995.jpg</t>
  </si>
  <si>
    <t>The Seven Deadly Sins - Season 1</t>
  </si>
  <si>
    <t>https://www.crunchyroll.com/series/GY5P48XEY/the-seven-deadly-sins</t>
  </si>
  <si>
    <t>https://cdn.myanimelist.net/images/anime/1109/145389.jpg</t>
  </si>
  <si>
    <t>The Seven Deadly Sins: Revival of the Commandments - Season 2</t>
  </si>
  <si>
    <t>https://cdn.myanimelist.net/images/anime/11/90089.jpg</t>
  </si>
  <si>
    <t>Magi: The Labyrinth of Magic - Season 1</t>
  </si>
  <si>
    <t>Action|Adventure|Fantasy|Shounen</t>
  </si>
  <si>
    <t>https://www.crunchyroll.com/series/GY5P48XEY/magi-the-labyrinth-of-magic</t>
  </si>
  <si>
    <t>https://cdn.myanimelist.net/images/anime/11/42773.jpg</t>
  </si>
  <si>
    <t>Magi: The Kingdom of Magic - Season 2</t>
  </si>
  <si>
    <t>https://cdn.myanimelist.net/images/anime/13/55039.jpg</t>
  </si>
  <si>
    <t>D.Gray-man - Season 1</t>
  </si>
  <si>
    <t>Action|Adventure|Drama|Fantasy|Shounen|Supernatural</t>
  </si>
  <si>
    <t>https://www.crunchyroll.com/series/GYQ4MWDGY/dgray-man</t>
  </si>
  <si>
    <t>https://www.funimation.com/shows/dgray-man/</t>
  </si>
  <si>
    <t>https://cdn.myanimelist.net/images/anime/9/76469.jpg</t>
  </si>
  <si>
    <t>D.Gray-man Hallow - Season 2</t>
  </si>
  <si>
    <t>https://www.funimation.com/shows/dgray-man-hallow/</t>
  </si>
  <si>
    <t>https://cdn.myanimelist.net/images/anime/1448/147351.jpg</t>
  </si>
  <si>
    <t>Akame ga Kill! - Season 1</t>
  </si>
  <si>
    <t>https://www.crunchyroll.com/series/G6X3D5VZ6/akame-ga-kill</t>
  </si>
  <si>
    <t>https://www.hulu.com/series/akame-ga-kill-8e7f5a1d-9f3e-4c8e-9b5a-9e9f9b9f9b9f</t>
  </si>
  <si>
    <t>https://cdn.myanimelist.net/images/anime/1429/95946.jpg</t>
  </si>
  <si>
    <t>Higurashi no Naku Koro ni - Season 1</t>
  </si>
  <si>
    <t>Horror</t>
  </si>
  <si>
    <t>Horror|Mystery|Psychological|Supernatural|Thriller</t>
  </si>
  <si>
    <t>https://www.crunchyroll.com/series/G6NQ3DW06/higurashi-when-they-cry</t>
  </si>
  <si>
    <t>https://www.hidive.com/tv/higurashi-when-they-cry</t>
  </si>
  <si>
    <t>https://cdn.myanimelist.net/images/anime/4/14113.jpg</t>
  </si>
  <si>
    <t>Higurashi no Naku Koro ni Kai - Season 2</t>
  </si>
  <si>
    <t>https://www.hidive.com/tv/higurashi-when-they-cry-kai</t>
  </si>
  <si>
    <t>https://cdn.myanimelist.net/images/anime/12/14114.jpg</t>
  </si>
  <si>
    <t>Paranoia Agent</t>
  </si>
  <si>
    <t>Psychological</t>
  </si>
  <si>
    <t>https://www.funimation.com/shows/paranoia-agent/</t>
  </si>
  <si>
    <t>https://cdn.myanimelist.net/images/anime/7/10240.jpg</t>
  </si>
  <si>
    <t>Texhnolyze</t>
  </si>
  <si>
    <t>Sci-Fi</t>
  </si>
  <si>
    <t>Action|Drama|Psychological|Sci-Fi</t>
  </si>
  <si>
    <t>https://www.funimation.com/shows/texhnolyze/</t>
  </si>
  <si>
    <t>https://cdn.myanimelist.net/images/anime/1027/131977.jpg</t>
  </si>
  <si>
    <t>Nana</t>
  </si>
  <si>
    <t>Drama</t>
  </si>
  <si>
    <t>Drama|Josei|Music|Romance</t>
  </si>
  <si>
    <t>https://www.crunchyroll.com/series/G6NQ3DW06/nana</t>
  </si>
  <si>
    <t>https://www.hidive.com/tv/nana</t>
  </si>
  <si>
    <t>https://cdn.myanimelist.net/images/anime/2/11232.jpg</t>
  </si>
  <si>
    <t>Oshi no Ko - Season 1</t>
  </si>
  <si>
    <t>Drama|Supernatural</t>
  </si>
  <si>
    <t>https://www.crunchyroll.com/series/G4PH0WKEJ/oshi-no-ko</t>
  </si>
  <si>
    <t>https://www.hidive.com/tv/oshi-no-ko</t>
  </si>
  <si>
    <t>https://cdn.myanimelist.net/images/anime/1702/156273.jpg</t>
  </si>
  <si>
    <t>Ranking of Kings - Season 1</t>
  </si>
  <si>
    <t>Adventure|Fantasy</t>
  </si>
  <si>
    <t>https://www.crunchyroll.com/series/G4PH0WKEJ/ranking-of-kings</t>
  </si>
  <si>
    <t>https://www.funimation.com/shows/ranking-of-kings/</t>
  </si>
  <si>
    <t>https://cdn.myanimelist.net/images/anime/1347/117616.jpg</t>
  </si>
  <si>
    <t>Clannad: After Story - Season 2</t>
  </si>
  <si>
    <t>Drama|Romance|Slice of Life|Supernatural</t>
  </si>
  <si>
    <t>https://www.crunchyroll.com/series/G6NQ3DW06/clannad-after-story</t>
  </si>
  <si>
    <t>https://www.hidive.com/tv/clannad-after-story</t>
  </si>
  <si>
    <t>https://cdn.myanimelist.net/images/anime/1299/110774.jpg</t>
  </si>
  <si>
    <t>Fruits Basket (2019) - Season 1</t>
  </si>
  <si>
    <t>Comedy|Drama|Romance|Shoujo|Supernatural</t>
  </si>
  <si>
    <t>https://www.crunchyroll.com/series/G6NQ3DW06/fruits-basket-1st-season</t>
  </si>
  <si>
    <t>https://www.funimation.com/shows/fruits-basket/</t>
  </si>
  <si>
    <t>https://cdn.myanimelist.net/images/anime/1972/111635.jpg</t>
  </si>
  <si>
    <t>Fruits Basket: The Final - Season 3</t>
  </si>
  <si>
    <t>Drama|Romance|Shoujo|Supernatural</t>
  </si>
  <si>
    <t>https://www.crunchyroll.com/series/G6NQ3DW06/fruits-basket-the-final-season</t>
  </si>
  <si>
    <t>https://www.funimation.com/shows/fruits-basket-the-final-season/</t>
  </si>
  <si>
    <t>https://cdn.myanimelist.net/images/anime/1085/114792.jpg</t>
  </si>
  <si>
    <t>Anohana: The Flower We Saw That Day</t>
  </si>
  <si>
    <t>https://www.netflix.com/title/70262856</t>
  </si>
  <si>
    <t>https://www.crunchyroll.com/series/G6NQ3DW06/anohana-the-flower-we-saw-that-day</t>
  </si>
  <si>
    <t>https://cdn.myanimelist.net/images/anime/5/79697.jpg</t>
  </si>
  <si>
    <t>Violet Evergarden</t>
  </si>
  <si>
    <t>Drama|Fantasy|Slice of Life</t>
  </si>
  <si>
    <t>https://www.netflix.com/in/title/80182123</t>
  </si>
  <si>
    <t>https://cdn.myanimelist.net/images/anime/1795/95088.jpg</t>
  </si>
  <si>
    <t>Cyberpunk: Edgerunners</t>
  </si>
  <si>
    <t>Action|Sci-Fi|Cyberpunk</t>
  </si>
  <si>
    <t>https://www.netflix.com/title/81054853</t>
  </si>
  <si>
    <t>https://cdn.myanimelist.net/images/anime/1818/126435.jpg</t>
  </si>
  <si>
    <t>Devil May Cry</t>
  </si>
  <si>
    <t>Action|Fantasy|Supernatural</t>
  </si>
  <si>
    <t>https://www.crunchyroll.com/devil-may-cry</t>
  </si>
  <si>
    <t>https://cdn.myanimelist.net/images/anime/4/26417.jpg</t>
  </si>
  <si>
    <t>Arcane</t>
  </si>
  <si>
    <t>Action|Drama|Fantasy</t>
  </si>
  <si>
    <t>https://www.netflix.com/title/81435684</t>
  </si>
  <si>
    <t>https://cdn.myanimelist.net/images/anime/9/39495.jpg</t>
  </si>
  <si>
    <t>Boruto: Naruto Next Generations</t>
  </si>
  <si>
    <t>Shounen</t>
  </si>
  <si>
    <t>Action|Adventure|Comedy</t>
  </si>
  <si>
    <t>https://www.crunchyroll.com/boruto-naruto-next-generations</t>
  </si>
  <si>
    <t>https://cdn.myanimelist.net/images/anime/1091/99847.jpg</t>
  </si>
  <si>
    <t>Black Butler</t>
  </si>
  <si>
    <t>https://www.netflix.com/title/80097353</t>
  </si>
  <si>
    <t>https://www.crunchyroll.com/black-butler</t>
  </si>
  <si>
    <t>https://cdn.myanimelist.net/images/anime/1467/137783.jpg</t>
  </si>
  <si>
    <t>Kill Bill: The Origin of O-Ren</t>
  </si>
  <si>
    <t>Action|Crime|Drama</t>
  </si>
  <si>
    <t>https://www.amazon.com/Kill-Bill-Vol-1/dp/B000I9W4TQ</t>
  </si>
  <si>
    <t>https://cdn.myanimelist.net/images/anime/1854/112817.jpg</t>
  </si>
  <si>
    <t>Perfect Blue</t>
  </si>
  <si>
    <t>Drama|Horror|Psychological</t>
  </si>
  <si>
    <t>https://www.amazon.com/Perfect-Blub-Satoko-Kon/dp/B000I2J6F8</t>
  </si>
  <si>
    <t>https://cdn.myanimelist.net/images/anime/1254/134212.jpg</t>
  </si>
  <si>
    <t>Samurai Champloo</t>
  </si>
  <si>
    <t>Action|Adventure|Comedy|Historical|Samurai</t>
  </si>
  <si>
    <t>https://www.crunchyroll.com/series/GY5P4MQJY/samurai-champloo</t>
  </si>
  <si>
    <t>https://www.hulu.com/series/samurai-champloo-76cd2e5a-9fd8-4ffc-917e-8a9b1b3d5ad8</t>
  </si>
  <si>
    <t>https://www.funimation.com/shows/samurai-champloo/</t>
  </si>
  <si>
    <t>https://cdn.myanimelist.net/images/anime/1370/135212.jpg</t>
  </si>
  <si>
    <t>Trigun</t>
  </si>
  <si>
    <t>Action|Adventure|Comedy|Sci-Fi|Western</t>
  </si>
  <si>
    <t>https://www.crunchyroll.com/series/G6JQ8JX5Y/trigun</t>
  </si>
  <si>
    <t>https://www.funimation.com/shows/trigun/</t>
  </si>
  <si>
    <t>https://cdn.myanimelist.net/images/anime/1130/120002.jpg</t>
  </si>
  <si>
    <t>Akira</t>
  </si>
  <si>
    <t>Action|Horror|Psychological|Sci-Fi|Supernatural</t>
  </si>
  <si>
    <t>https://www.netflix.com/title/60003061</t>
  </si>
  <si>
    <t>https://www.crunchyroll.com/movies/akira</t>
  </si>
  <si>
    <t>https://www.hulu.com/movie/akira-92f10992-2079-4b2a-9b36-4b41f6c4e3f2</t>
  </si>
  <si>
    <t>https://www.funimation.com/movies/akira/</t>
  </si>
  <si>
    <t>https://cdn.myanimelist.net/images/anime/1408/114012.jpg</t>
  </si>
  <si>
    <t>Spirited Away</t>
  </si>
  <si>
    <t>Adventure|Fantasy|Supernatural</t>
  </si>
  <si>
    <t>https://www.netflix.com/title/60023642</t>
  </si>
  <si>
    <t>https://play.hbomax.com/feature/urn:hbo:feature:GYDqWkgK9NMNljgEAAAAC</t>
  </si>
  <si>
    <t>https://cdn.myanimelist.net/images/anime/6/79597.jpg</t>
  </si>
  <si>
    <t>Princess Mononoke</t>
  </si>
  <si>
    <t>Action|Adventure|Drama|Fantasy|Historical</t>
  </si>
  <si>
    <t>https://www.netflix.com/title/60023643</t>
  </si>
  <si>
    <t>https://play.hbomax.com/feature/urn:hbo:feature:GX7sQwQcN5MNljgEAAAAD</t>
  </si>
  <si>
    <t>https://cdn.myanimelist.net/images/anime/1355/147277.jpg</t>
  </si>
  <si>
    <t>Ghost in the Shell</t>
  </si>
  <si>
    <t>Action|Mecha|Psychological|Sci-Fi</t>
  </si>
  <si>
    <t>https://www.amazon.com/Ghost-Shell-Mamoru-Oshii/dp/B004W0JJCQ</t>
  </si>
  <si>
    <t>https://www.funimation.com/movies/ghost-in-the-shell/</t>
  </si>
  <si>
    <t>https://cdn.myanimelist.net/images/anime/10/82594.jpg</t>
  </si>
  <si>
    <t>Ghost in the Shell: Stand Alone Complex</t>
  </si>
  <si>
    <t>Action|Mecha|Mystery|Sci-Fi</t>
  </si>
  <si>
    <t>https://www.netflix.com/title/70205011</t>
  </si>
  <si>
    <t>https://www.hulu.com/series/ghost-in-the-shell-stand-alone-complex-0a0d5b96-51bf-4a77-aac1-79dcc22e8d27</t>
  </si>
  <si>
    <t>https://www.funimation.com/shows/ghost-in-the-shell-stand-alone-complex/</t>
  </si>
  <si>
    <t>https://cdn.myanimelist.net/images/anime/11/50857.jpg</t>
  </si>
  <si>
    <t>Tengen Toppa Gurren Lagann</t>
  </si>
  <si>
    <t>Action|Adventure|Comedy|Mecha|Sci-Fi</t>
  </si>
  <si>
    <t>https://www.netflix.com/title/70204973</t>
  </si>
  <si>
    <t>https://www.crunchyroll.com/series/GYGG2GV96/gurren-lagann</t>
  </si>
  <si>
    <t>https://www.hulu.com/series/gurren-lagann-3a6f4d60-5bad-406b-a55c-8b44e5e0d8f2</t>
  </si>
  <si>
    <t>https://www.funimation.com/shows/gurren-lagann/</t>
  </si>
  <si>
    <t>https://cdn.myanimelist.net/images/anime/4/5123.jpg</t>
  </si>
  <si>
    <t>Kill la Kill</t>
  </si>
  <si>
    <t>Action|Comedy|Ecchi|Super Power</t>
  </si>
  <si>
    <t>https://www.crunchyroll.com/series/GR751KNZY/kill-la-kill</t>
  </si>
  <si>
    <t>https://www.hulu.com/series/kill-la-kill-0a3a2e36-7b5b-4e18-8ba0-8b5c464c6a1f</t>
  </si>
  <si>
    <t>https://www.funimation.com/shows/kill-la-kill/</t>
  </si>
  <si>
    <t>https://cdn.myanimelist.net/images/anime/1464/111943.jpg</t>
  </si>
  <si>
    <t>FLCL</t>
  </si>
  <si>
    <t>Action|Comedy|Mecha|Sci-Fi</t>
  </si>
  <si>
    <t>https://www.crunchyroll.com/series/G49V41J56/flcl</t>
  </si>
  <si>
    <t>https://www.funimation.com/shows/flcl/</t>
  </si>
  <si>
    <t>https://cdn.myanimelist.net/images/anime/7/77356.jpg</t>
  </si>
  <si>
    <t>Baccano!</t>
  </si>
  <si>
    <t>Action|Comedy|Historical|Mystery|Supernatural</t>
  </si>
  <si>
    <t>https://www.crunchyroll.com/series/GDKHZEP4Y/baccano</t>
  </si>
  <si>
    <t>https://www.funimation.com/shows/baccano/</t>
  </si>
  <si>
    <t>https://cdn.myanimelist.net/images/anime/3/14547.jpg</t>
  </si>
  <si>
    <t>Durarara!!</t>
  </si>
  <si>
    <t>Action|Comedy|Mystery|Supernatural</t>
  </si>
  <si>
    <t>https://www.crunchyroll.com/series/GYGG1JE9Y/durarara</t>
  </si>
  <si>
    <t>https://www.hulu.com/series/durarara-3f8c2c59-0151-41e1-ba71-88e8e3c4b3f5</t>
  </si>
  <si>
    <t>https://www.funimation.com/shows/durarara/</t>
  </si>
  <si>
    <t>https://cdn.myanimelist.net/images/anime/10/71772.jpg</t>
  </si>
  <si>
    <t>Angel Beats!</t>
  </si>
  <si>
    <t>Action|Comedy|Drama|Supernatural</t>
  </si>
  <si>
    <t>https://www.netflix.com/title/70204983</t>
  </si>
  <si>
    <t>https://www.crunchyroll.com/series/GYGG1JE9Y/angel-beats</t>
  </si>
  <si>
    <t>https://www.funimation.com/shows/angel-beats/</t>
  </si>
  <si>
    <t>https://cdn.myanimelist.net/images/anime/1244/111115.jpg</t>
  </si>
  <si>
    <t>Toradora!</t>
  </si>
  <si>
    <t>Comedy|Drama|Romance|Slice of Life</t>
  </si>
  <si>
    <t>https://www.netflix.com/title/80049276</t>
  </si>
  <si>
    <t>https://www.crunchyroll.com/series/G63K8G9VY/toradora</t>
  </si>
  <si>
    <t>https://cdn.myanimelist.net/images/anime/13/22128.jpg</t>
  </si>
  <si>
    <t>Clannad</t>
  </si>
  <si>
    <t>Visual Novel</t>
  </si>
  <si>
    <t>Comedy|Drama|Romance|Slice of Life|Supernatural</t>
  </si>
  <si>
    <t>https://www.crunchyroll.com/series/GR751KNZY/clannad</t>
  </si>
  <si>
    <t>https://www.hidive.com/tv/clannad</t>
  </si>
  <si>
    <t>https://cdn.myanimelist.net/images/anime/1804/95033.jpg</t>
  </si>
  <si>
    <t>Hyouka</t>
  </si>
  <si>
    <t>Mystery|Slice of Life</t>
  </si>
  <si>
    <t>https://www.crunchyroll.com/series/G6P8QK3JY/hyouka</t>
  </si>
  <si>
    <t>https://www.funimation.com/shows/hyouka/</t>
  </si>
  <si>
    <t>https://cdn.myanimelist.net/images/anime/13/50521.jpg</t>
  </si>
  <si>
    <t>Nichijou</t>
  </si>
  <si>
    <t>Comedy|Slice of Life</t>
  </si>
  <si>
    <t>https://www.crunchyroll.com/series/GY5VKXJ4Y/nichijou</t>
  </si>
  <si>
    <t>https://www.funimation.com/shows/nichijou/</t>
  </si>
  <si>
    <t>https://cdn.myanimelist.net/images/anime/3/75617.jpg</t>
  </si>
  <si>
    <t>Lucky Star</t>
  </si>
  <si>
    <t>https://www.crunchyroll.com/series/GR751KNZY/lucky-star</t>
  </si>
  <si>
    <t>https://www.funimation.com/shows/lucky-star/</t>
  </si>
  <si>
    <t>https://cdn.myanimelist.net/images/anime/1561/115660.jpg</t>
  </si>
  <si>
    <t>The Melancholy of Haruhi Suzumiya</t>
  </si>
  <si>
    <t>Comedy|Mystery|Sci-Fi|Supernatural</t>
  </si>
  <si>
    <t>https://www.crunchyroll.com/series/GYGG1JE9Y/the-melancholy-of-haruhi-suzumiya</t>
  </si>
  <si>
    <t>https://www.funimation.com/shows/the-melancholy-of-haruhi-suzumiya/</t>
  </si>
  <si>
    <t>https://cdn.myanimelist.net/images/anime/1470/137929.jpg</t>
  </si>
  <si>
    <t>K-On!</t>
  </si>
  <si>
    <t>Comedy|Music|Slice of Life</t>
  </si>
  <si>
    <t>https://www.crunchyroll.com/series/GXJHM3KJY/k-on</t>
  </si>
  <si>
    <t>https://www.hidive.com/tv/k-on</t>
  </si>
  <si>
    <t>https://cdn.myanimelist.net/images/anime/10/76120.jpg</t>
  </si>
  <si>
    <t>A Silent Voice</t>
  </si>
  <si>
    <t>Drama|Romance|Slice of Life</t>
  </si>
  <si>
    <t>https://www.netflix.com/title/80171362</t>
  </si>
  <si>
    <t>https://www.amazon.com/Silent-Voice-Saori-Hayami/dp/B01M5HY9ZG</t>
  </si>
  <si>
    <t>https://cdn.myanimelist.net/images/anime/1122/96435.jpg</t>
  </si>
  <si>
    <t>Your Name.</t>
  </si>
  <si>
    <t>Drama|Romance|Supernatural</t>
  </si>
  <si>
    <t>https://www.netflix.com/title/80161371</t>
  </si>
  <si>
    <t>https://www.crunchyroll.com/movies/your-name</t>
  </si>
  <si>
    <t>https://cdn.myanimelist.net/images/anime/5/87048.jpg</t>
  </si>
  <si>
    <t>Weathering with You</t>
  </si>
  <si>
    <t>https://www.crunchyroll.com/movies/weathering-with-you</t>
  </si>
  <si>
    <t>https://play.hbomax.com/feature/urn:hbo:feature:GX9s2wAjq9MNljgEAAAEV</t>
  </si>
  <si>
    <t>https://cdn.myanimelist.net/images/anime/1880/101146.jpg</t>
  </si>
  <si>
    <t>5 Centimeters per Second</t>
  </si>
  <si>
    <t>Drama|Romance</t>
  </si>
  <si>
    <t>https://www.netflix.com/title/70204974</t>
  </si>
  <si>
    <t>https://www.crunchyroll.com/movies/5-centimeters-per-second</t>
  </si>
  <si>
    <t>https://cdn.myanimelist.net/images/anime/1410/112994.jpg</t>
  </si>
  <si>
    <t>Grave of the Fireflies</t>
  </si>
  <si>
    <t>Drama|Historical</t>
  </si>
  <si>
    <t>https://www.netflix.com/title/60023645</t>
  </si>
  <si>
    <t>https://play.hbomax.com/feature/urn:hbo:feature:GX0U9fwp9MNljgEAAAAC</t>
  </si>
  <si>
    <t>https://cdn.myanimelist.net/images/anime/1485/141208.jpg</t>
  </si>
  <si>
    <t>Howl's Moving Castle</t>
  </si>
  <si>
    <t>https://www.netflix.com/title/60023644</t>
  </si>
  <si>
    <t>https://play.hbomax.com/feature/urn:hbo:feature:GX0RxhwJ9MNljgEAAAAB</t>
  </si>
  <si>
    <t>https://cdn.myanimelist.net/images/anime/1470/138723.jpg</t>
  </si>
  <si>
    <t>My Neighbor Totoro</t>
  </si>
  <si>
    <t>Adventure|Fantasy|Slice of Life</t>
  </si>
  <si>
    <t>https://www.netflix.com/title/60023647</t>
  </si>
  <si>
    <t>https://play.hbomax.com/feature/urn:hbo:feature:GX0RoIAJ9MNljgEAAAAB</t>
  </si>
  <si>
    <t>https://cdn.myanimelist.net/images/anime/1110/147278.jpg</t>
  </si>
  <si>
    <t>Sword Art Online Alternative: Gun Gale Online</t>
  </si>
  <si>
    <t>Action|Fantasy|Game|Sci-Fi</t>
  </si>
  <si>
    <t>https://www.crunchyroll.com/series/GR751KNZY/sword-art-online-alternative-gun-gale-online</t>
  </si>
  <si>
    <t>https://www.funimation.com/shows/sword-art-online-alternative-gun-gale-online/</t>
  </si>
  <si>
    <t>https://cdn.myanimelist.net/images/anime/1141/93288.jpg</t>
  </si>
  <si>
    <t>Fate/Zero</t>
  </si>
  <si>
    <t>Action|Fantasy|Supernatural|Thriller</t>
  </si>
  <si>
    <t>https://www.netflix.com/title/80049978</t>
  </si>
  <si>
    <t>https://www.crunchyroll.com/series/GR751KNZY/fatezero</t>
  </si>
  <si>
    <t>https://cdn.myanimelist.net/images/anime/1887/117644.jpg</t>
  </si>
  <si>
    <t>Fate/stay night: Unlimited Blade Works</t>
  </si>
  <si>
    <t>https://www.netflix.com/title/80049375</t>
  </si>
  <si>
    <t>https://www.crunchyroll.com/series/GR751KNZY/fatestay-night-unlimited-blade-works</t>
  </si>
  <si>
    <t>https://cdn.myanimelist.net/images/anime/12/67333.jpg</t>
  </si>
  <si>
    <t>Kaguya-sama: Love is War</t>
  </si>
  <si>
    <t>Comedy|Romance|School|Psychological</t>
  </si>
  <si>
    <t>https://www.crunchyroll.com/series/G6P5WJX4Y/kaguya-sama-love-is-war</t>
  </si>
  <si>
    <t>https://www.funimation.com/shows/kaguya-sama-love-is-war/</t>
  </si>
  <si>
    <t>https://cdn.myanimelist.net/images/anime/1295/106551.jpg</t>
  </si>
  <si>
    <t>Re:Creators</t>
  </si>
  <si>
    <t>Action|Fantasy|Mecha|Sci-Fi</t>
  </si>
  <si>
    <t>https://www.amazon.com/Re-Creators-Season-1/dp/B07YCLT3HJ</t>
  </si>
  <si>
    <t>https://cdn.myanimelist.net/images/anime/11/85469.jpg</t>
  </si>
  <si>
    <t>Akudama Drive</t>
  </si>
  <si>
    <t>Action|Sci-Fi|Thriller</t>
  </si>
  <si>
    <t>https://www.crunchyroll.com/series/GY5VKXJ4Y/akudama-drive</t>
  </si>
  <si>
    <t>https://www.funimation.com/shows/akudama-drive/</t>
  </si>
  <si>
    <t>https://cdn.myanimelist.net/images/anime/1468/109172.jpg</t>
  </si>
  <si>
    <t>Vivy: Fluorite Eye's Song</t>
  </si>
  <si>
    <t>Action|Drama|Sci-Fi|Music</t>
  </si>
  <si>
    <t>https://www.crunchyroll.com/series/G49VJE9JY/vivy-fluorite-eyes-song</t>
  </si>
  <si>
    <t>https://www.funimation.com/shows/vivy-fluorite-eyes-song/</t>
  </si>
  <si>
    <t>https://cdn.myanimelist.net/images/anime/1551/128960.jpg</t>
  </si>
  <si>
    <t>Great Pretender</t>
  </si>
  <si>
    <t>Action|Adventure|Comedy|Mystery</t>
  </si>
  <si>
    <t>https://www.netflix.com/title/81220408</t>
  </si>
  <si>
    <t>https://cdn.myanimelist.net/images/anime/1418/107954.jpg</t>
  </si>
  <si>
    <t>Megalobox</t>
  </si>
  <si>
    <t>Action|Drama|Sci-Fi|Sports</t>
  </si>
  <si>
    <t>https://www.crunchyroll.com/series/GYGG1JE9Y/megalobox</t>
  </si>
  <si>
    <t>https://www.funimation.com/shows/megalobox/</t>
  </si>
  <si>
    <t>https://cdn.myanimelist.net/images/anime/1958/93533.jpg</t>
  </si>
  <si>
    <t>Carole &amp; Tuesday</t>
  </si>
  <si>
    <t>Drama|Music|Sci-Fi</t>
  </si>
  <si>
    <t>https://www.netflix.com/title/80220308</t>
  </si>
  <si>
    <t>https://cdn.myanimelist.net/images/anime/1611/96157.jpg</t>
  </si>
  <si>
    <t>Death Parade</t>
  </si>
  <si>
    <t>Drama|Mystery|Psychological|Supernatural|Thriller</t>
  </si>
  <si>
    <t>https://www.crunchyroll.com/series/GYGG1JE9Y/death-parade</t>
  </si>
  <si>
    <t>https://www.funimation.com/shows/death-parade/</t>
  </si>
  <si>
    <t>https://cdn.myanimelist.net/images/anime/5/71553.jpg</t>
  </si>
  <si>
    <t>Jujutsu Kaisen Season 3</t>
  </si>
  <si>
    <t>https://cdn.myanimelist.net/images/anime/1659/154920.jpg</t>
  </si>
  <si>
    <t>Pokemon - Season 2: Adventures in the Orange Islands</t>
  </si>
  <si>
    <t>https://cdn.myanimelist.net/images/anime/5/49285.jpg</t>
  </si>
  <si>
    <t>https://www.crunchyroll.com/movies/demon-slayer-kimetsu-no-yaiba-infinity-castle</t>
  </si>
  <si>
    <t>One Punch Man Season 3</t>
  </si>
  <si>
    <t>https://cdn.myanimelist.net/images/anime/1168/148347.jpg</t>
  </si>
  <si>
    <t>My Hero Academia Season 7</t>
  </si>
  <si>
    <t>https://cdn.myanimelist.net/images/anime/1573/157212.jpg</t>
  </si>
  <si>
    <t>Count of title</t>
  </si>
  <si>
    <t>Average of rating</t>
  </si>
  <si>
    <t>Sum of popularity</t>
  </si>
  <si>
    <t>counts</t>
  </si>
  <si>
    <t>Netflix</t>
  </si>
  <si>
    <t>Crunchyroll</t>
  </si>
  <si>
    <t>Platform</t>
  </si>
  <si>
    <t>percentage</t>
  </si>
  <si>
    <t>Row Labels</t>
  </si>
  <si>
    <t>Grand Total</t>
  </si>
  <si>
    <t>Count of episodes</t>
  </si>
  <si>
    <t>Sum of percentage</t>
  </si>
  <si>
    <t>Tokyo Ghoul A - Season 2</t>
  </si>
  <si>
    <t>Demon Slayer: Kimetsu no Yaiba The Movie: Infinity Castle</t>
  </si>
  <si>
    <t>1-12</t>
  </si>
  <si>
    <t>13-24</t>
  </si>
  <si>
    <t>25-36</t>
  </si>
  <si>
    <t>37-48</t>
  </si>
  <si>
    <t>&gt;301</t>
  </si>
  <si>
    <t>49-60</t>
  </si>
  <si>
    <t>73-84</t>
  </si>
  <si>
    <t>289-300</t>
  </si>
  <si>
    <t>145-156</t>
  </si>
  <si>
    <t>121-132</t>
  </si>
  <si>
    <t>217-228</t>
  </si>
  <si>
    <t>61-72</t>
  </si>
  <si>
    <t>97-108</t>
  </si>
  <si>
    <t>169-180</t>
  </si>
  <si>
    <t>1986-1990</t>
  </si>
  <si>
    <t>1991-1995</t>
  </si>
  <si>
    <t>1996-2000</t>
  </si>
  <si>
    <t>2001-2005</t>
  </si>
  <si>
    <t>2006-2010</t>
  </si>
  <si>
    <t>2011-2015</t>
  </si>
  <si>
    <t>2016-2020</t>
  </si>
  <si>
    <t>2021-2026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</si>
</sst>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14" fontId="0" fillId="0" borderId="0" xfId="0" applyNumberFormat="1"/>
    <xf numFmtId="9" fontId="0" fillId="0" borderId="0" xfId="42" applyFont="1"/>
    <xf numFmtId="0" fontId="0" fillId="0" borderId="0" xfId="0" pivotButton="1"/>
    <xf numFmtId="0" fontId="0" fillId="0" borderId="0" xfId="0" applyAlignment="1">
      <alignment horizontal="left"/>
    </xf>
    <xf numFmtId="9"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0" formatCode="General"/>
    </dxf>
    <dxf>
      <numFmt numFmtId="19" formatCode="dd/mm/yyyy"/>
    </dxf>
    <dxf>
      <numFmt numFmtId="19" formatCode="dd/mm/yyyy"/>
    </dxf>
    <dxf>
      <numFmt numFmtId="0" formatCode="General"/>
    </dxf>
    <dxf>
      <numFmt numFmtId="19" formatCode="dd/mm/yyyy"/>
    </dxf>
    <dxf>
      <numFmt numFmtId="19" formatCode="dd/mm/yyyy"/>
    </dxf>
    <dxf>
      <font>
        <sz val="14"/>
        <color theme="1"/>
        <name val="Times New Roman"/>
        <family val="1"/>
        <scheme val="none"/>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name val="Times New Roman"/>
        <family val="1"/>
        <scheme val="none"/>
      </font>
      <fill>
        <patternFill>
          <bgColor theme="0"/>
        </patternFill>
      </fill>
    </dxf>
    <dxf>
      <font>
        <name val="Times New Roman"/>
        <family val="1"/>
        <scheme val="none"/>
      </font>
      <fill>
        <patternFill>
          <bgColor theme="0"/>
        </patternFill>
      </fill>
    </dxf>
  </dxfs>
  <tableStyles count="6" defaultTableStyle="TableStyleMedium2" defaultPivotStyle="PivotStyleLight16">
    <tableStyle name="Slicer Style 1" pivot="0" table="0" count="1" xr9:uid="{02750C85-C821-4161-BD63-AFACDCBEE612}"/>
    <tableStyle name="Slicer Style 2" pivot="0" table="0" count="1" xr9:uid="{E286CFC6-2278-48AC-9324-DA477A98FF62}">
      <tableStyleElement type="headerRow" dxfId="9"/>
    </tableStyle>
    <tableStyle name="Slicer Style 2 2" pivot="0" table="0" count="1" xr9:uid="{92B67287-3666-4B90-B9DB-2B039E35AE59}">
      <tableStyleElement type="headerRow" dxfId="8"/>
    </tableStyle>
    <tableStyle name="Slicer Style 3" pivot="0" table="0" count="0" xr9:uid="{F2874924-A0A8-4E9C-BC12-AABA0A332768}"/>
    <tableStyle name="Slicer Style 4" pivot="0" table="0" count="0" xr9:uid="{C2523887-D2B8-4F58-B85B-EE02F7E4CA90}"/>
    <tableStyle name="Timeline Style 1" pivot="0" table="0" count="8" xr9:uid="{1585463B-9EC7-4C72-AD33-FD8FB0C4DF99}">
      <tableStyleElement type="wholeTable" dxfId="7"/>
      <tableStyleElement type="headerRow" dxfId="6"/>
    </tableStyle>
  </tableStyles>
  <colors>
    <mruColors>
      <color rgb="FF0000FF"/>
      <color rgb="FFFFCCFF"/>
      <color rgb="FF663300"/>
      <color rgb="FFCC00CC"/>
      <color rgb="FFFF6600"/>
    </mruColors>
  </colors>
  <extLst>
    <ext xmlns:x14="http://schemas.microsoft.com/office/spreadsheetml/2009/9/main" uri="{46F421CA-312F-682f-3DD2-61675219B42D}">
      <x14:dxfs count="1">
        <dxf>
          <font>
            <b val="0"/>
            <i val="0"/>
            <sz val="14"/>
            <name val="French Script MT"/>
            <family val="4"/>
            <scheme val="none"/>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2 2"/>
        <x14:slicerStyle name="Slicer Style 3"/>
        <x14:slicerStyle name="Slicer Style 4"/>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Anime with Episodes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c:f>
              <c:strCache>
                <c:ptCount val="1"/>
                <c:pt idx="0">
                  <c:v>Total</c:v>
                </c:pt>
              </c:strCache>
            </c:strRef>
          </c:tx>
          <c:spPr>
            <a:solidFill>
              <a:srgbClr val="FFFF00"/>
            </a:solidFill>
            <a:ln>
              <a:noFill/>
            </a:ln>
            <a:effectLst/>
          </c:spPr>
          <c:invertIfNegative val="0"/>
          <c:cat>
            <c:strRef>
              <c:f>'Pivot Table'!$A$6:$A$20</c:f>
              <c:strCache>
                <c:ptCount val="14"/>
                <c:pt idx="0">
                  <c:v>1-12</c:v>
                </c:pt>
                <c:pt idx="1">
                  <c:v>13-24</c:v>
                </c:pt>
                <c:pt idx="2">
                  <c:v>25-36</c:v>
                </c:pt>
                <c:pt idx="3">
                  <c:v>37-48</c:v>
                </c:pt>
                <c:pt idx="4">
                  <c:v>&gt;301</c:v>
                </c:pt>
                <c:pt idx="5">
                  <c:v>49-60</c:v>
                </c:pt>
                <c:pt idx="6">
                  <c:v>73-84</c:v>
                </c:pt>
                <c:pt idx="7">
                  <c:v>289-300</c:v>
                </c:pt>
                <c:pt idx="8">
                  <c:v>145-156</c:v>
                </c:pt>
                <c:pt idx="9">
                  <c:v>121-132</c:v>
                </c:pt>
                <c:pt idx="10">
                  <c:v>217-228</c:v>
                </c:pt>
                <c:pt idx="11">
                  <c:v>61-72</c:v>
                </c:pt>
                <c:pt idx="12">
                  <c:v>97-108</c:v>
                </c:pt>
                <c:pt idx="13">
                  <c:v>169-180</c:v>
                </c:pt>
              </c:strCache>
            </c:strRef>
          </c:cat>
          <c:val>
            <c:numRef>
              <c:f>'Pivot Table'!$B$6:$B$20</c:f>
              <c:numCache>
                <c:formatCode>General</c:formatCode>
                <c:ptCount val="14"/>
                <c:pt idx="0">
                  <c:v>71</c:v>
                </c:pt>
                <c:pt idx="1">
                  <c:v>66</c:v>
                </c:pt>
                <c:pt idx="2">
                  <c:v>42</c:v>
                </c:pt>
                <c:pt idx="3">
                  <c:v>7</c:v>
                </c:pt>
                <c:pt idx="4">
                  <c:v>5</c:v>
                </c:pt>
                <c:pt idx="5">
                  <c:v>3</c:v>
                </c:pt>
                <c:pt idx="6">
                  <c:v>3</c:v>
                </c:pt>
                <c:pt idx="7">
                  <c:v>2</c:v>
                </c:pt>
                <c:pt idx="8">
                  <c:v>2</c:v>
                </c:pt>
                <c:pt idx="9">
                  <c:v>1</c:v>
                </c:pt>
                <c:pt idx="10">
                  <c:v>1</c:v>
                </c:pt>
                <c:pt idx="11">
                  <c:v>1</c:v>
                </c:pt>
                <c:pt idx="12">
                  <c:v>1</c:v>
                </c:pt>
                <c:pt idx="13">
                  <c:v>1</c:v>
                </c:pt>
              </c:numCache>
            </c:numRef>
          </c:val>
          <c:extLst>
            <c:ext xmlns:c16="http://schemas.microsoft.com/office/drawing/2014/chart" uri="{C3380CC4-5D6E-409C-BE32-E72D297353CC}">
              <c16:uniqueId val="{00000005-033B-48C5-94A4-183E225BCE4A}"/>
            </c:ext>
          </c:extLst>
        </c:ser>
        <c:dLbls>
          <c:showLegendKey val="0"/>
          <c:showVal val="0"/>
          <c:showCatName val="0"/>
          <c:showSerName val="0"/>
          <c:showPercent val="0"/>
          <c:showBubbleSize val="0"/>
        </c:dLbls>
        <c:gapWidth val="219"/>
        <c:overlap val="-27"/>
        <c:axId val="499762815"/>
        <c:axId val="499751295"/>
      </c:barChart>
      <c:catAx>
        <c:axId val="4997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99751295"/>
        <c:crosses val="autoZero"/>
        <c:auto val="1"/>
        <c:lblAlgn val="ctr"/>
        <c:lblOffset val="100"/>
        <c:noMultiLvlLbl val="0"/>
      </c:catAx>
      <c:valAx>
        <c:axId val="49975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9976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Anime</a:t>
            </a:r>
            <a:r>
              <a:rPr lang="en-US" b="1" baseline="0">
                <a:solidFill>
                  <a:schemeClr val="bg1"/>
                </a:solidFill>
                <a:latin typeface="Times New Roman" panose="02020603050405020304" pitchFamily="18" charset="0"/>
                <a:cs typeface="Times New Roman" panose="02020603050405020304" pitchFamily="18" charset="0"/>
              </a:rPr>
              <a:t> Types</a:t>
            </a:r>
          </a:p>
        </c:rich>
      </c:tx>
      <c:layout>
        <c:manualLayout>
          <c:xMode val="edge"/>
          <c:yMode val="edge"/>
          <c:x val="0.3995833333333333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solidFill>
              <a:schemeClr val="accent4">
                <a:lumMod val="20000"/>
                <a:lumOff val="80000"/>
              </a:schemeClr>
            </a:solidFill>
            <a:ln>
              <a:noFill/>
            </a:ln>
            <a:effectLst/>
          </c:spPr>
          <c:invertIfNegative val="0"/>
          <c:cat>
            <c:strRef>
              <c:f>'Pivot Table'!$A$53:$A$69</c:f>
              <c:strCache>
                <c:ptCount val="16"/>
                <c:pt idx="0">
                  <c:v>Webtoon</c:v>
                </c:pt>
                <c:pt idx="1">
                  <c:v>Special</c:v>
                </c:pt>
                <c:pt idx="2">
                  <c:v>Psychological</c:v>
                </c:pt>
                <c:pt idx="3">
                  <c:v>Fantasy</c:v>
                </c:pt>
                <c:pt idx="4">
                  <c:v>Sci-Fi</c:v>
                </c:pt>
                <c:pt idx="5">
                  <c:v>Horror</c:v>
                </c:pt>
                <c:pt idx="6">
                  <c:v>Visual Novel</c:v>
                </c:pt>
                <c:pt idx="7">
                  <c:v>Shounen</c:v>
                </c:pt>
                <c:pt idx="8">
                  <c:v>Drama</c:v>
                </c:pt>
                <c:pt idx="9">
                  <c:v>Adventure</c:v>
                </c:pt>
                <c:pt idx="10">
                  <c:v>Action</c:v>
                </c:pt>
                <c:pt idx="11">
                  <c:v>Original</c:v>
                </c:pt>
                <c:pt idx="12">
                  <c:v>Movie</c:v>
                </c:pt>
                <c:pt idx="13">
                  <c:v>Seinen</c:v>
                </c:pt>
                <c:pt idx="14">
                  <c:v>Light Novel</c:v>
                </c:pt>
                <c:pt idx="15">
                  <c:v>Shonen</c:v>
                </c:pt>
              </c:strCache>
            </c:strRef>
          </c:cat>
          <c:val>
            <c:numRef>
              <c:f>'Pivot Table'!$B$53:$B$69</c:f>
              <c:numCache>
                <c:formatCode>General</c:formatCode>
                <c:ptCount val="16"/>
                <c:pt idx="0">
                  <c:v>1</c:v>
                </c:pt>
                <c:pt idx="1">
                  <c:v>1</c:v>
                </c:pt>
                <c:pt idx="2">
                  <c:v>1</c:v>
                </c:pt>
                <c:pt idx="3">
                  <c:v>1</c:v>
                </c:pt>
                <c:pt idx="4">
                  <c:v>1</c:v>
                </c:pt>
                <c:pt idx="5">
                  <c:v>2</c:v>
                </c:pt>
                <c:pt idx="6">
                  <c:v>2</c:v>
                </c:pt>
                <c:pt idx="7">
                  <c:v>2</c:v>
                </c:pt>
                <c:pt idx="8">
                  <c:v>6</c:v>
                </c:pt>
                <c:pt idx="9">
                  <c:v>7</c:v>
                </c:pt>
                <c:pt idx="10">
                  <c:v>11</c:v>
                </c:pt>
                <c:pt idx="11">
                  <c:v>14</c:v>
                </c:pt>
                <c:pt idx="12">
                  <c:v>17</c:v>
                </c:pt>
                <c:pt idx="13">
                  <c:v>35</c:v>
                </c:pt>
                <c:pt idx="14">
                  <c:v>38</c:v>
                </c:pt>
                <c:pt idx="15">
                  <c:v>67</c:v>
                </c:pt>
              </c:numCache>
            </c:numRef>
          </c:val>
          <c:extLst>
            <c:ext xmlns:c16="http://schemas.microsoft.com/office/drawing/2014/chart" uri="{C3380CC4-5D6E-409C-BE32-E72D297353CC}">
              <c16:uniqueId val="{00000000-115B-4EC1-9798-0C3A7DF3CDF0}"/>
            </c:ext>
          </c:extLst>
        </c:ser>
        <c:dLbls>
          <c:showLegendKey val="0"/>
          <c:showVal val="0"/>
          <c:showCatName val="0"/>
          <c:showSerName val="0"/>
          <c:showPercent val="0"/>
          <c:showBubbleSize val="0"/>
        </c:dLbls>
        <c:gapWidth val="182"/>
        <c:axId val="657673535"/>
        <c:axId val="657660575"/>
      </c:barChart>
      <c:catAx>
        <c:axId val="6576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657660575"/>
        <c:crosses val="autoZero"/>
        <c:auto val="1"/>
        <c:lblAlgn val="ctr"/>
        <c:lblOffset val="100"/>
        <c:noMultiLvlLbl val="0"/>
      </c:catAx>
      <c:valAx>
        <c:axId val="657660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6576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[Project_anime_dataset.xlsx]Pivot Table!T3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Year</a:t>
            </a:r>
            <a:r>
              <a:rPr lang="en-US" sz="1400" b="1" baseline="0">
                <a:solidFill>
                  <a:schemeClr val="bg1"/>
                </a:solidFill>
                <a:latin typeface="Times New Roman" panose="02020603050405020304" pitchFamily="18" charset="0"/>
                <a:cs typeface="Times New Roman" panose="02020603050405020304" pitchFamily="18" charset="0"/>
              </a:rPr>
              <a:t>wise Released Anime</a:t>
            </a:r>
            <a:endParaRPr lang="en-US" sz="14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tx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 Table'!$B$72</c:f>
              <c:strCache>
                <c:ptCount val="1"/>
                <c:pt idx="0">
                  <c:v>Total</c:v>
                </c:pt>
              </c:strCache>
            </c:strRef>
          </c:tx>
          <c:spPr>
            <a:ln w="28575" cap="rnd">
              <a:solidFill>
                <a:schemeClr val="accent4"/>
              </a:solidFill>
              <a:round/>
            </a:ln>
            <a:effectLst/>
          </c:spPr>
          <c:marker>
            <c:symbol val="circle"/>
            <c:size val="5"/>
            <c:spPr>
              <a:solidFill>
                <a:schemeClr val="tx1"/>
              </a:solidFill>
              <a:ln w="9525">
                <a:solidFill>
                  <a:schemeClr val="accent4"/>
                </a:solidFill>
              </a:ln>
              <a:effectLst/>
            </c:spPr>
          </c:marker>
          <c:cat>
            <c:strRef>
              <c:f>'Pivot Table'!$A$73:$A$81</c:f>
              <c:strCache>
                <c:ptCount val="8"/>
                <c:pt idx="0">
                  <c:v>1986-1990</c:v>
                </c:pt>
                <c:pt idx="1">
                  <c:v>1991-1995</c:v>
                </c:pt>
                <c:pt idx="2">
                  <c:v>1996-2000</c:v>
                </c:pt>
                <c:pt idx="3">
                  <c:v>2001-2005</c:v>
                </c:pt>
                <c:pt idx="4">
                  <c:v>2006-2010</c:v>
                </c:pt>
                <c:pt idx="5">
                  <c:v>2011-2015</c:v>
                </c:pt>
                <c:pt idx="6">
                  <c:v>2016-2020</c:v>
                </c:pt>
                <c:pt idx="7">
                  <c:v>2021-2026</c:v>
                </c:pt>
              </c:strCache>
            </c:strRef>
          </c:cat>
          <c:val>
            <c:numRef>
              <c:f>'Pivot Table'!$B$73:$B$81</c:f>
              <c:numCache>
                <c:formatCode>General</c:formatCode>
                <c:ptCount val="8"/>
                <c:pt idx="0">
                  <c:v>5</c:v>
                </c:pt>
                <c:pt idx="1">
                  <c:v>2</c:v>
                </c:pt>
                <c:pt idx="2">
                  <c:v>11</c:v>
                </c:pt>
                <c:pt idx="3">
                  <c:v>11</c:v>
                </c:pt>
                <c:pt idx="4">
                  <c:v>25</c:v>
                </c:pt>
                <c:pt idx="5">
                  <c:v>39</c:v>
                </c:pt>
                <c:pt idx="6">
                  <c:v>61</c:v>
                </c:pt>
                <c:pt idx="7">
                  <c:v>52</c:v>
                </c:pt>
              </c:numCache>
            </c:numRef>
          </c:val>
          <c:smooth val="0"/>
          <c:extLst>
            <c:ext xmlns:c16="http://schemas.microsoft.com/office/drawing/2014/chart" uri="{C3380CC4-5D6E-409C-BE32-E72D297353CC}">
              <c16:uniqueId val="{00000002-9460-49F8-BC46-EE34E35F0C39}"/>
            </c:ext>
          </c:extLst>
        </c:ser>
        <c:dLbls>
          <c:showLegendKey val="0"/>
          <c:showVal val="0"/>
          <c:showCatName val="0"/>
          <c:showSerName val="0"/>
          <c:showPercent val="0"/>
          <c:showBubbleSize val="0"/>
        </c:dLbls>
        <c:marker val="1"/>
        <c:smooth val="0"/>
        <c:axId val="706504687"/>
        <c:axId val="706519087"/>
      </c:lineChart>
      <c:catAx>
        <c:axId val="7065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FFFF00"/>
                  </a:solidFill>
                </a:ln>
                <a:solidFill>
                  <a:schemeClr val="tx1">
                    <a:lumMod val="65000"/>
                    <a:lumOff val="35000"/>
                  </a:schemeClr>
                </a:solidFill>
                <a:latin typeface="+mn-lt"/>
                <a:ea typeface="+mn-ea"/>
                <a:cs typeface="+mn-cs"/>
              </a:defRPr>
            </a:pPr>
            <a:endParaRPr lang="en-US"/>
          </a:p>
        </c:txPr>
        <c:crossAx val="706519087"/>
        <c:crosses val="autoZero"/>
        <c:auto val="1"/>
        <c:lblAlgn val="ctr"/>
        <c:lblOffset val="100"/>
        <c:noMultiLvlLbl val="0"/>
      </c:catAx>
      <c:valAx>
        <c:axId val="70651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FFFF00"/>
                  </a:solidFill>
                </a:ln>
                <a:solidFill>
                  <a:schemeClr val="tx1">
                    <a:lumMod val="65000"/>
                    <a:lumOff val="35000"/>
                  </a:schemeClr>
                </a:solidFill>
                <a:latin typeface="+mn-lt"/>
                <a:ea typeface="+mn-ea"/>
                <a:cs typeface="+mn-cs"/>
              </a:defRPr>
            </a:pPr>
            <a:endParaRPr lang="en-US"/>
          </a:p>
        </c:txPr>
        <c:crossAx val="7065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rPr>
              <a:t>Market Share by Straming Platforms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Table'!$P$7</c:f>
              <c:strCache>
                <c:ptCount val="1"/>
                <c:pt idx="0">
                  <c:v>Total</c:v>
                </c:pt>
              </c:strCache>
            </c:strRef>
          </c:tx>
          <c:spPr>
            <a:solidFill>
              <a:srgbClr val="00B0F0"/>
            </a:solidFill>
            <a:ln>
              <a:noFill/>
            </a:ln>
            <a:effectLst/>
          </c:spPr>
          <c:invertIfNegative val="0"/>
          <c:cat>
            <c:strRef>
              <c:f>'Pivot Table'!$O$8:$O$17</c:f>
              <c:strCache>
                <c:ptCount val="9"/>
                <c:pt idx="0">
                  <c:v>hbo_max</c:v>
                </c:pt>
                <c:pt idx="1">
                  <c:v>amazon_prime</c:v>
                </c:pt>
                <c:pt idx="2">
                  <c:v>hidive</c:v>
                </c:pt>
                <c:pt idx="3">
                  <c:v>disney_plus</c:v>
                </c:pt>
                <c:pt idx="4">
                  <c:v>pokemon_tv</c:v>
                </c:pt>
                <c:pt idx="5">
                  <c:v>Netflix</c:v>
                </c:pt>
                <c:pt idx="6">
                  <c:v>hulu</c:v>
                </c:pt>
                <c:pt idx="7">
                  <c:v>funimation</c:v>
                </c:pt>
                <c:pt idx="8">
                  <c:v>Crunchyroll</c:v>
                </c:pt>
              </c:strCache>
            </c:strRef>
          </c:cat>
          <c:val>
            <c:numRef>
              <c:f>'Pivot Table'!$P$8:$P$17</c:f>
              <c:numCache>
                <c:formatCode>0%</c:formatCode>
                <c:ptCount val="9"/>
                <c:pt idx="0">
                  <c:v>2.5641025641025641E-3</c:v>
                </c:pt>
                <c:pt idx="1">
                  <c:v>2.5641025641025641E-3</c:v>
                </c:pt>
                <c:pt idx="2">
                  <c:v>2.5641025641025641E-3</c:v>
                </c:pt>
                <c:pt idx="3">
                  <c:v>2.5641025641025641E-3</c:v>
                </c:pt>
                <c:pt idx="4">
                  <c:v>5.1282051282051282E-3</c:v>
                </c:pt>
                <c:pt idx="5">
                  <c:v>0.1641025641025641</c:v>
                </c:pt>
                <c:pt idx="6">
                  <c:v>0.18461538461538463</c:v>
                </c:pt>
                <c:pt idx="7">
                  <c:v>0.20256410256410257</c:v>
                </c:pt>
                <c:pt idx="8">
                  <c:v>0.43333333333333335</c:v>
                </c:pt>
              </c:numCache>
            </c:numRef>
          </c:val>
          <c:extLst>
            <c:ext xmlns:c16="http://schemas.microsoft.com/office/drawing/2014/chart" uri="{C3380CC4-5D6E-409C-BE32-E72D297353CC}">
              <c16:uniqueId val="{00000000-F19D-4892-A940-F7A55BD51F41}"/>
            </c:ext>
          </c:extLst>
        </c:ser>
        <c:dLbls>
          <c:showLegendKey val="0"/>
          <c:showVal val="0"/>
          <c:showCatName val="0"/>
          <c:showSerName val="0"/>
          <c:showPercent val="0"/>
          <c:showBubbleSize val="0"/>
        </c:dLbls>
        <c:gapWidth val="182"/>
        <c:axId val="702064927"/>
        <c:axId val="702065407"/>
      </c:barChart>
      <c:catAx>
        <c:axId val="70206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02065407"/>
        <c:crosses val="autoZero"/>
        <c:auto val="1"/>
        <c:lblAlgn val="ctr"/>
        <c:lblOffset val="100"/>
        <c:noMultiLvlLbl val="0"/>
      </c:catAx>
      <c:valAx>
        <c:axId val="702065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020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Episodes</a:t>
            </a:r>
            <a:r>
              <a:rPr lang="en-US" sz="1400" b="1" baseline="0">
                <a:solidFill>
                  <a:schemeClr val="bg1"/>
                </a:solidFill>
                <a:latin typeface="Times New Roman" panose="02020603050405020304" pitchFamily="18" charset="0"/>
                <a:cs typeface="Times New Roman" panose="02020603050405020304" pitchFamily="18" charset="0"/>
              </a:rPr>
              <a:t> Vs Ratings</a:t>
            </a:r>
            <a:endParaRPr lang="en-US" sz="14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Table'!$P$25</c:f>
              <c:strCache>
                <c:ptCount val="1"/>
                <c:pt idx="0">
                  <c:v>Total</c:v>
                </c:pt>
              </c:strCache>
            </c:strRef>
          </c:tx>
          <c:spPr>
            <a:solidFill>
              <a:srgbClr val="FFCCFF"/>
            </a:solidFill>
            <a:ln>
              <a:noFill/>
            </a:ln>
            <a:effectLst/>
          </c:spPr>
          <c:invertIfNegative val="0"/>
          <c:cat>
            <c:strRef>
              <c:f>'Pivot Table'!$O$26:$O$40</c:f>
              <c:strCache>
                <c:ptCount val="14"/>
                <c:pt idx="0">
                  <c:v>61-72</c:v>
                </c:pt>
                <c:pt idx="1">
                  <c:v>145-156</c:v>
                </c:pt>
                <c:pt idx="2">
                  <c:v>49-60</c:v>
                </c:pt>
                <c:pt idx="3">
                  <c:v>73-84</c:v>
                </c:pt>
                <c:pt idx="4">
                  <c:v>25-36</c:v>
                </c:pt>
                <c:pt idx="5">
                  <c:v>37-48</c:v>
                </c:pt>
                <c:pt idx="6">
                  <c:v>121-132</c:v>
                </c:pt>
                <c:pt idx="7">
                  <c:v>&gt;301</c:v>
                </c:pt>
                <c:pt idx="8">
                  <c:v>13-24</c:v>
                </c:pt>
                <c:pt idx="9">
                  <c:v>1-12</c:v>
                </c:pt>
                <c:pt idx="10">
                  <c:v>97-108</c:v>
                </c:pt>
                <c:pt idx="11">
                  <c:v>217-228</c:v>
                </c:pt>
                <c:pt idx="12">
                  <c:v>169-180</c:v>
                </c:pt>
                <c:pt idx="13">
                  <c:v>289-300</c:v>
                </c:pt>
              </c:strCache>
            </c:strRef>
          </c:cat>
          <c:val>
            <c:numRef>
              <c:f>'Pivot Table'!$P$26:$P$40</c:f>
              <c:numCache>
                <c:formatCode>General</c:formatCode>
                <c:ptCount val="14"/>
                <c:pt idx="0">
                  <c:v>9.1</c:v>
                </c:pt>
                <c:pt idx="1">
                  <c:v>8.8000000000000007</c:v>
                </c:pt>
                <c:pt idx="2">
                  <c:v>8.5</c:v>
                </c:pt>
                <c:pt idx="3">
                  <c:v>8.4</c:v>
                </c:pt>
                <c:pt idx="4">
                  <c:v>8.3357142857142872</c:v>
                </c:pt>
                <c:pt idx="5">
                  <c:v>8.3285714285714292</c:v>
                </c:pt>
                <c:pt idx="6">
                  <c:v>8.3000000000000007</c:v>
                </c:pt>
                <c:pt idx="7">
                  <c:v>8.2199999999999989</c:v>
                </c:pt>
                <c:pt idx="8">
                  <c:v>8.1953124999999982</c:v>
                </c:pt>
                <c:pt idx="9">
                  <c:v>8.169014084507042</c:v>
                </c:pt>
                <c:pt idx="10">
                  <c:v>8</c:v>
                </c:pt>
                <c:pt idx="11">
                  <c:v>7.9</c:v>
                </c:pt>
                <c:pt idx="12">
                  <c:v>7.8</c:v>
                </c:pt>
                <c:pt idx="13">
                  <c:v>7.7</c:v>
                </c:pt>
              </c:numCache>
            </c:numRef>
          </c:val>
          <c:extLst>
            <c:ext xmlns:c16="http://schemas.microsoft.com/office/drawing/2014/chart" uri="{C3380CC4-5D6E-409C-BE32-E72D297353CC}">
              <c16:uniqueId val="{00000000-DFF5-4533-B61D-1BDCE5AE1818}"/>
            </c:ext>
          </c:extLst>
        </c:ser>
        <c:dLbls>
          <c:showLegendKey val="0"/>
          <c:showVal val="0"/>
          <c:showCatName val="0"/>
          <c:showSerName val="0"/>
          <c:showPercent val="0"/>
          <c:showBubbleSize val="0"/>
        </c:dLbls>
        <c:gapWidth val="219"/>
        <c:overlap val="-27"/>
        <c:axId val="586765935"/>
        <c:axId val="586762575"/>
      </c:barChart>
      <c:catAx>
        <c:axId val="586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6762575"/>
        <c:crosses val="autoZero"/>
        <c:auto val="1"/>
        <c:lblAlgn val="ctr"/>
        <c:lblOffset val="100"/>
        <c:noMultiLvlLbl val="0"/>
      </c:catAx>
      <c:valAx>
        <c:axId val="58676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676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33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Anime</a:t>
            </a:r>
            <a:r>
              <a:rPr lang="en-US" b="1" baseline="0">
                <a:solidFill>
                  <a:schemeClr val="bg1"/>
                </a:solidFill>
                <a:latin typeface="Times New Roman" panose="02020603050405020304" pitchFamily="18" charset="0"/>
                <a:cs typeface="Times New Roman" panose="02020603050405020304" pitchFamily="18" charset="0"/>
              </a:rPr>
              <a:t> Status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FFFF00"/>
          </a:solidFill>
          <a:ln w="19050">
            <a:solidFill>
              <a:schemeClr val="lt1"/>
            </a:solidFill>
          </a:ln>
          <a:effectLst/>
        </c:spPr>
      </c:pivotFmt>
    </c:pivotFmts>
    <c:plotArea>
      <c:layout/>
      <c:pieChart>
        <c:varyColors val="1"/>
        <c:ser>
          <c:idx val="0"/>
          <c:order val="0"/>
          <c:tx>
            <c:strRef>
              <c:f>'Pivot Table'!$AA$26</c:f>
              <c:strCache>
                <c:ptCount val="1"/>
                <c:pt idx="0">
                  <c:v>Total</c:v>
                </c:pt>
              </c:strCache>
            </c:strRef>
          </c:tx>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2-3DF0-4223-B1AE-B8D5F2A44646}"/>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F0D8-48D8-AF2A-490AD661627F}"/>
              </c:ext>
            </c:extLst>
          </c:dPt>
          <c:cat>
            <c:strRef>
              <c:f>'Pivot Table'!$Z$27:$Z$29</c:f>
              <c:strCache>
                <c:ptCount val="2"/>
                <c:pt idx="0">
                  <c:v>Currently Airing</c:v>
                </c:pt>
                <c:pt idx="1">
                  <c:v>Finished Airing</c:v>
                </c:pt>
              </c:strCache>
            </c:strRef>
          </c:cat>
          <c:val>
            <c:numRef>
              <c:f>'Pivot Table'!$AA$27:$AA$29</c:f>
              <c:numCache>
                <c:formatCode>General</c:formatCode>
                <c:ptCount val="2"/>
                <c:pt idx="0">
                  <c:v>10</c:v>
                </c:pt>
                <c:pt idx="1">
                  <c:v>196</c:v>
                </c:pt>
              </c:numCache>
            </c:numRef>
          </c:val>
          <c:extLst>
            <c:ext xmlns:c16="http://schemas.microsoft.com/office/drawing/2014/chart" uri="{C3380CC4-5D6E-409C-BE32-E72D297353CC}">
              <c16:uniqueId val="{00000000-3DF0-4223-B1AE-B8D5F2A4464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Top</a:t>
            </a:r>
            <a:r>
              <a:rPr lang="en-US" b="1" baseline="0">
                <a:solidFill>
                  <a:schemeClr val="bg1"/>
                </a:solidFill>
              </a:rPr>
              <a:t> 10 Most Popular Anime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Table'!$AA$41</c:f>
              <c:strCache>
                <c:ptCount val="1"/>
                <c:pt idx="0">
                  <c:v>Total</c:v>
                </c:pt>
              </c:strCache>
            </c:strRef>
          </c:tx>
          <c:spPr>
            <a:solidFill>
              <a:srgbClr val="FF0000"/>
            </a:solidFill>
            <a:ln>
              <a:noFill/>
            </a:ln>
            <a:effectLst/>
          </c:spPr>
          <c:invertIfNegative val="0"/>
          <c:cat>
            <c:strRef>
              <c:f>'Pivot Table'!$Z$42:$Z$52</c:f>
              <c:strCache>
                <c:ptCount val="10"/>
                <c:pt idx="0">
                  <c:v>Demon Slayer: Kimetsu no Yaiba - Hashira Training Arc</c:v>
                </c:pt>
                <c:pt idx="1">
                  <c:v>Boruto: Naruto Next Generations</c:v>
                </c:pt>
                <c:pt idx="2">
                  <c:v>Tokyo Ghoul - Season 1</c:v>
                </c:pt>
                <c:pt idx="3">
                  <c:v>Ranking of Kings - Season 1</c:v>
                </c:pt>
                <c:pt idx="4">
                  <c:v>One Punch Man - Season 1</c:v>
                </c:pt>
                <c:pt idx="5">
                  <c:v>Arcane</c:v>
                </c:pt>
                <c:pt idx="6">
                  <c:v>The Seven Deadly Sins - Season 1</c:v>
                </c:pt>
                <c:pt idx="7">
                  <c:v>Oshi no Ko - Season 1</c:v>
                </c:pt>
                <c:pt idx="8">
                  <c:v>Pokemon - Season 1: Indigo League</c:v>
                </c:pt>
                <c:pt idx="9">
                  <c:v>Dragon Ball Z</c:v>
                </c:pt>
              </c:strCache>
            </c:strRef>
          </c:cat>
          <c:val>
            <c:numRef>
              <c:f>'Pivot Table'!$AA$42:$AA$52</c:f>
              <c:numCache>
                <c:formatCode>General</c:formatCode>
                <c:ptCount val="10"/>
                <c:pt idx="0">
                  <c:v>4228767</c:v>
                </c:pt>
                <c:pt idx="1">
                  <c:v>4500000</c:v>
                </c:pt>
                <c:pt idx="2">
                  <c:v>4500000</c:v>
                </c:pt>
                <c:pt idx="3">
                  <c:v>4500000</c:v>
                </c:pt>
                <c:pt idx="4">
                  <c:v>4567890</c:v>
                </c:pt>
                <c:pt idx="5">
                  <c:v>5000000</c:v>
                </c:pt>
                <c:pt idx="6">
                  <c:v>5000000</c:v>
                </c:pt>
                <c:pt idx="7">
                  <c:v>5000000</c:v>
                </c:pt>
                <c:pt idx="8">
                  <c:v>5678901</c:v>
                </c:pt>
                <c:pt idx="9">
                  <c:v>15432101</c:v>
                </c:pt>
              </c:numCache>
            </c:numRef>
          </c:val>
          <c:extLst>
            <c:ext xmlns:c16="http://schemas.microsoft.com/office/drawing/2014/chart" uri="{C3380CC4-5D6E-409C-BE32-E72D297353CC}">
              <c16:uniqueId val="{00000000-0AF4-43AC-A7C4-F58C083B9713}"/>
            </c:ext>
          </c:extLst>
        </c:ser>
        <c:dLbls>
          <c:showLegendKey val="0"/>
          <c:showVal val="0"/>
          <c:showCatName val="0"/>
          <c:showSerName val="0"/>
          <c:showPercent val="0"/>
          <c:showBubbleSize val="0"/>
        </c:dLbls>
        <c:gapWidth val="182"/>
        <c:axId val="677411199"/>
        <c:axId val="711825007"/>
      </c:barChart>
      <c:catAx>
        <c:axId val="677411199"/>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1825007"/>
        <c:crosses val="autoZero"/>
        <c:auto val="1"/>
        <c:lblAlgn val="ctr"/>
        <c:lblOffset val="100"/>
        <c:noMultiLvlLbl val="0"/>
      </c:catAx>
      <c:valAx>
        <c:axId val="71182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774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Title</a:t>
            </a:r>
            <a:r>
              <a:rPr lang="en-IN" b="1" baseline="0">
                <a:solidFill>
                  <a:schemeClr val="bg1"/>
                </a:solidFill>
                <a:latin typeface="Times New Roman" panose="02020603050405020304" pitchFamily="18" charset="0"/>
                <a:cs typeface="Times New Roman" panose="02020603050405020304" pitchFamily="18" charset="0"/>
              </a:rPr>
              <a:t> Vs</a:t>
            </a:r>
            <a:r>
              <a:rPr lang="en-IN" b="1">
                <a:solidFill>
                  <a:schemeClr val="bg1"/>
                </a:solidFill>
                <a:latin typeface="Times New Roman" panose="02020603050405020304" pitchFamily="18" charset="0"/>
                <a:cs typeface="Times New Roman" panose="02020603050405020304" pitchFamily="18" charset="0"/>
              </a:rPr>
              <a:t> Episodes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c:f>
              <c:strCache>
                <c:ptCount val="1"/>
                <c:pt idx="0">
                  <c:v>Total</c:v>
                </c:pt>
              </c:strCache>
            </c:strRef>
          </c:tx>
          <c:spPr>
            <a:solidFill>
              <a:srgbClr val="FFFF00"/>
            </a:solidFill>
            <a:ln>
              <a:noFill/>
            </a:ln>
            <a:effectLst/>
          </c:spPr>
          <c:invertIfNegative val="0"/>
          <c:cat>
            <c:strRef>
              <c:f>'Pivot Table'!$A$6:$A$20</c:f>
              <c:strCache>
                <c:ptCount val="14"/>
                <c:pt idx="0">
                  <c:v>1-12</c:v>
                </c:pt>
                <c:pt idx="1">
                  <c:v>13-24</c:v>
                </c:pt>
                <c:pt idx="2">
                  <c:v>25-36</c:v>
                </c:pt>
                <c:pt idx="3">
                  <c:v>37-48</c:v>
                </c:pt>
                <c:pt idx="4">
                  <c:v>&gt;301</c:v>
                </c:pt>
                <c:pt idx="5">
                  <c:v>49-60</c:v>
                </c:pt>
                <c:pt idx="6">
                  <c:v>73-84</c:v>
                </c:pt>
                <c:pt idx="7">
                  <c:v>289-300</c:v>
                </c:pt>
                <c:pt idx="8">
                  <c:v>145-156</c:v>
                </c:pt>
                <c:pt idx="9">
                  <c:v>121-132</c:v>
                </c:pt>
                <c:pt idx="10">
                  <c:v>217-228</c:v>
                </c:pt>
                <c:pt idx="11">
                  <c:v>61-72</c:v>
                </c:pt>
                <c:pt idx="12">
                  <c:v>97-108</c:v>
                </c:pt>
                <c:pt idx="13">
                  <c:v>169-180</c:v>
                </c:pt>
              </c:strCache>
            </c:strRef>
          </c:cat>
          <c:val>
            <c:numRef>
              <c:f>'Pivot Table'!$B$6:$B$20</c:f>
              <c:numCache>
                <c:formatCode>General</c:formatCode>
                <c:ptCount val="14"/>
                <c:pt idx="0">
                  <c:v>71</c:v>
                </c:pt>
                <c:pt idx="1">
                  <c:v>66</c:v>
                </c:pt>
                <c:pt idx="2">
                  <c:v>42</c:v>
                </c:pt>
                <c:pt idx="3">
                  <c:v>7</c:v>
                </c:pt>
                <c:pt idx="4">
                  <c:v>5</c:v>
                </c:pt>
                <c:pt idx="5">
                  <c:v>3</c:v>
                </c:pt>
                <c:pt idx="6">
                  <c:v>3</c:v>
                </c:pt>
                <c:pt idx="7">
                  <c:v>2</c:v>
                </c:pt>
                <c:pt idx="8">
                  <c:v>2</c:v>
                </c:pt>
                <c:pt idx="9">
                  <c:v>1</c:v>
                </c:pt>
                <c:pt idx="10">
                  <c:v>1</c:v>
                </c:pt>
                <c:pt idx="11">
                  <c:v>1</c:v>
                </c:pt>
                <c:pt idx="12">
                  <c:v>1</c:v>
                </c:pt>
                <c:pt idx="13">
                  <c:v>1</c:v>
                </c:pt>
              </c:numCache>
            </c:numRef>
          </c:val>
          <c:extLst>
            <c:ext xmlns:c16="http://schemas.microsoft.com/office/drawing/2014/chart" uri="{C3380CC4-5D6E-409C-BE32-E72D297353CC}">
              <c16:uniqueId val="{00000003-715C-48AA-97DD-38EC7E6DDC1D}"/>
            </c:ext>
          </c:extLst>
        </c:ser>
        <c:dLbls>
          <c:showLegendKey val="0"/>
          <c:showVal val="0"/>
          <c:showCatName val="0"/>
          <c:showSerName val="0"/>
          <c:showPercent val="0"/>
          <c:showBubbleSize val="0"/>
        </c:dLbls>
        <c:gapWidth val="219"/>
        <c:overlap val="-27"/>
        <c:axId val="499762815"/>
        <c:axId val="499751295"/>
      </c:barChart>
      <c:catAx>
        <c:axId val="4997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99751295"/>
        <c:crosses val="autoZero"/>
        <c:auto val="1"/>
        <c:lblAlgn val="ctr"/>
        <c:lblOffset val="100"/>
        <c:noMultiLvlLbl val="0"/>
      </c:catAx>
      <c:valAx>
        <c:axId val="49975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9976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Anime</a:t>
            </a:r>
            <a:r>
              <a:rPr lang="en-US" b="1" baseline="0">
                <a:solidFill>
                  <a:schemeClr val="bg1"/>
                </a:solidFill>
                <a:latin typeface="Times New Roman" panose="02020603050405020304" pitchFamily="18" charset="0"/>
                <a:cs typeface="Times New Roman" panose="02020603050405020304" pitchFamily="18" charset="0"/>
              </a:rPr>
              <a:t> Types</a:t>
            </a:r>
          </a:p>
        </c:rich>
      </c:tx>
      <c:layout>
        <c:manualLayout>
          <c:xMode val="edge"/>
          <c:yMode val="edge"/>
          <c:x val="0.3995833333333333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solidFill>
              <a:schemeClr val="accent4">
                <a:lumMod val="20000"/>
                <a:lumOff val="80000"/>
              </a:schemeClr>
            </a:solidFill>
            <a:ln>
              <a:noFill/>
            </a:ln>
            <a:effectLst/>
          </c:spPr>
          <c:invertIfNegative val="0"/>
          <c:cat>
            <c:strRef>
              <c:f>'Pivot Table'!$A$53:$A$69</c:f>
              <c:strCache>
                <c:ptCount val="16"/>
                <c:pt idx="0">
                  <c:v>Webtoon</c:v>
                </c:pt>
                <c:pt idx="1">
                  <c:v>Special</c:v>
                </c:pt>
                <c:pt idx="2">
                  <c:v>Psychological</c:v>
                </c:pt>
                <c:pt idx="3">
                  <c:v>Fantasy</c:v>
                </c:pt>
                <c:pt idx="4">
                  <c:v>Sci-Fi</c:v>
                </c:pt>
                <c:pt idx="5">
                  <c:v>Horror</c:v>
                </c:pt>
                <c:pt idx="6">
                  <c:v>Visual Novel</c:v>
                </c:pt>
                <c:pt idx="7">
                  <c:v>Shounen</c:v>
                </c:pt>
                <c:pt idx="8">
                  <c:v>Drama</c:v>
                </c:pt>
                <c:pt idx="9">
                  <c:v>Adventure</c:v>
                </c:pt>
                <c:pt idx="10">
                  <c:v>Action</c:v>
                </c:pt>
                <c:pt idx="11">
                  <c:v>Original</c:v>
                </c:pt>
                <c:pt idx="12">
                  <c:v>Movie</c:v>
                </c:pt>
                <c:pt idx="13">
                  <c:v>Seinen</c:v>
                </c:pt>
                <c:pt idx="14">
                  <c:v>Light Novel</c:v>
                </c:pt>
                <c:pt idx="15">
                  <c:v>Shonen</c:v>
                </c:pt>
              </c:strCache>
            </c:strRef>
          </c:cat>
          <c:val>
            <c:numRef>
              <c:f>'Pivot Table'!$B$53:$B$69</c:f>
              <c:numCache>
                <c:formatCode>General</c:formatCode>
                <c:ptCount val="16"/>
                <c:pt idx="0">
                  <c:v>1</c:v>
                </c:pt>
                <c:pt idx="1">
                  <c:v>1</c:v>
                </c:pt>
                <c:pt idx="2">
                  <c:v>1</c:v>
                </c:pt>
                <c:pt idx="3">
                  <c:v>1</c:v>
                </c:pt>
                <c:pt idx="4">
                  <c:v>1</c:v>
                </c:pt>
                <c:pt idx="5">
                  <c:v>2</c:v>
                </c:pt>
                <c:pt idx="6">
                  <c:v>2</c:v>
                </c:pt>
                <c:pt idx="7">
                  <c:v>2</c:v>
                </c:pt>
                <c:pt idx="8">
                  <c:v>6</c:v>
                </c:pt>
                <c:pt idx="9">
                  <c:v>7</c:v>
                </c:pt>
                <c:pt idx="10">
                  <c:v>11</c:v>
                </c:pt>
                <c:pt idx="11">
                  <c:v>14</c:v>
                </c:pt>
                <c:pt idx="12">
                  <c:v>17</c:v>
                </c:pt>
                <c:pt idx="13">
                  <c:v>35</c:v>
                </c:pt>
                <c:pt idx="14">
                  <c:v>38</c:v>
                </c:pt>
                <c:pt idx="15">
                  <c:v>67</c:v>
                </c:pt>
              </c:numCache>
            </c:numRef>
          </c:val>
          <c:extLst>
            <c:ext xmlns:c16="http://schemas.microsoft.com/office/drawing/2014/chart" uri="{C3380CC4-5D6E-409C-BE32-E72D297353CC}">
              <c16:uniqueId val="{00000000-7346-432C-BEC7-CFC75541213A}"/>
            </c:ext>
          </c:extLst>
        </c:ser>
        <c:dLbls>
          <c:showLegendKey val="0"/>
          <c:showVal val="0"/>
          <c:showCatName val="0"/>
          <c:showSerName val="0"/>
          <c:showPercent val="0"/>
          <c:showBubbleSize val="0"/>
        </c:dLbls>
        <c:gapWidth val="182"/>
        <c:axId val="657673535"/>
        <c:axId val="657660575"/>
      </c:barChart>
      <c:catAx>
        <c:axId val="6576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657660575"/>
        <c:crosses val="autoZero"/>
        <c:auto val="1"/>
        <c:lblAlgn val="ctr"/>
        <c:lblOffset val="100"/>
        <c:noMultiLvlLbl val="0"/>
      </c:catAx>
      <c:valAx>
        <c:axId val="657660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6576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[Project_anime_dataset.xlsx]Pivot Table!T3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Yearwise Released Anime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Table'!$B$72</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Table'!$A$73:$A$81</c:f>
              <c:strCache>
                <c:ptCount val="8"/>
                <c:pt idx="0">
                  <c:v>1986-1990</c:v>
                </c:pt>
                <c:pt idx="1">
                  <c:v>1991-1995</c:v>
                </c:pt>
                <c:pt idx="2">
                  <c:v>1996-2000</c:v>
                </c:pt>
                <c:pt idx="3">
                  <c:v>2001-2005</c:v>
                </c:pt>
                <c:pt idx="4">
                  <c:v>2006-2010</c:v>
                </c:pt>
                <c:pt idx="5">
                  <c:v>2011-2015</c:v>
                </c:pt>
                <c:pt idx="6">
                  <c:v>2016-2020</c:v>
                </c:pt>
                <c:pt idx="7">
                  <c:v>2021-2026</c:v>
                </c:pt>
              </c:strCache>
            </c:strRef>
          </c:cat>
          <c:val>
            <c:numRef>
              <c:f>'Pivot Table'!$B$73:$B$81</c:f>
              <c:numCache>
                <c:formatCode>General</c:formatCode>
                <c:ptCount val="8"/>
                <c:pt idx="0">
                  <c:v>5</c:v>
                </c:pt>
                <c:pt idx="1">
                  <c:v>2</c:v>
                </c:pt>
                <c:pt idx="2">
                  <c:v>11</c:v>
                </c:pt>
                <c:pt idx="3">
                  <c:v>11</c:v>
                </c:pt>
                <c:pt idx="4">
                  <c:v>25</c:v>
                </c:pt>
                <c:pt idx="5">
                  <c:v>39</c:v>
                </c:pt>
                <c:pt idx="6">
                  <c:v>61</c:v>
                </c:pt>
                <c:pt idx="7">
                  <c:v>52</c:v>
                </c:pt>
              </c:numCache>
            </c:numRef>
          </c:val>
          <c:smooth val="0"/>
          <c:extLst>
            <c:ext xmlns:c16="http://schemas.microsoft.com/office/drawing/2014/chart" uri="{C3380CC4-5D6E-409C-BE32-E72D297353CC}">
              <c16:uniqueId val="{00000003-6E7F-4991-B46F-7DDA6F1DFF07}"/>
            </c:ext>
          </c:extLst>
        </c:ser>
        <c:dLbls>
          <c:showLegendKey val="0"/>
          <c:showVal val="0"/>
          <c:showCatName val="0"/>
          <c:showSerName val="0"/>
          <c:showPercent val="0"/>
          <c:showBubbleSize val="0"/>
        </c:dLbls>
        <c:marker val="1"/>
        <c:smooth val="0"/>
        <c:axId val="706504687"/>
        <c:axId val="706519087"/>
      </c:lineChart>
      <c:catAx>
        <c:axId val="706504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06519087"/>
        <c:crosses val="autoZero"/>
        <c:auto val="1"/>
        <c:lblAlgn val="ctr"/>
        <c:lblOffset val="100"/>
        <c:noMultiLvlLbl val="0"/>
      </c:catAx>
      <c:valAx>
        <c:axId val="706519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7065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bg1"/>
                </a:solidFill>
                <a:latin typeface="Times New Roman" panose="02020603050405020304" pitchFamily="18" charset="0"/>
                <a:cs typeface="Times New Roman" panose="02020603050405020304" pitchFamily="18" charset="0"/>
              </a:rPr>
              <a:t>Streaming Platforms </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Table'!$P$7</c:f>
              <c:strCache>
                <c:ptCount val="1"/>
                <c:pt idx="0">
                  <c:v>Total</c:v>
                </c:pt>
              </c:strCache>
            </c:strRef>
          </c:tx>
          <c:spPr>
            <a:solidFill>
              <a:srgbClr val="00B0F0"/>
            </a:solidFill>
            <a:ln>
              <a:noFill/>
            </a:ln>
            <a:effectLst/>
          </c:spPr>
          <c:invertIfNegative val="0"/>
          <c:cat>
            <c:strRef>
              <c:f>'Pivot Table'!$O$8:$O$17</c:f>
              <c:strCache>
                <c:ptCount val="9"/>
                <c:pt idx="0">
                  <c:v>hbo_max</c:v>
                </c:pt>
                <c:pt idx="1">
                  <c:v>amazon_prime</c:v>
                </c:pt>
                <c:pt idx="2">
                  <c:v>hidive</c:v>
                </c:pt>
                <c:pt idx="3">
                  <c:v>disney_plus</c:v>
                </c:pt>
                <c:pt idx="4">
                  <c:v>pokemon_tv</c:v>
                </c:pt>
                <c:pt idx="5">
                  <c:v>Netflix</c:v>
                </c:pt>
                <c:pt idx="6">
                  <c:v>hulu</c:v>
                </c:pt>
                <c:pt idx="7">
                  <c:v>funimation</c:v>
                </c:pt>
                <c:pt idx="8">
                  <c:v>Crunchyroll</c:v>
                </c:pt>
              </c:strCache>
            </c:strRef>
          </c:cat>
          <c:val>
            <c:numRef>
              <c:f>'Pivot Table'!$P$8:$P$17</c:f>
              <c:numCache>
                <c:formatCode>0%</c:formatCode>
                <c:ptCount val="9"/>
                <c:pt idx="0">
                  <c:v>2.5641025641025641E-3</c:v>
                </c:pt>
                <c:pt idx="1">
                  <c:v>2.5641025641025641E-3</c:v>
                </c:pt>
                <c:pt idx="2">
                  <c:v>2.5641025641025641E-3</c:v>
                </c:pt>
                <c:pt idx="3">
                  <c:v>2.5641025641025641E-3</c:v>
                </c:pt>
                <c:pt idx="4">
                  <c:v>5.1282051282051282E-3</c:v>
                </c:pt>
                <c:pt idx="5">
                  <c:v>0.1641025641025641</c:v>
                </c:pt>
                <c:pt idx="6">
                  <c:v>0.18461538461538463</c:v>
                </c:pt>
                <c:pt idx="7">
                  <c:v>0.20256410256410257</c:v>
                </c:pt>
                <c:pt idx="8">
                  <c:v>0.43333333333333335</c:v>
                </c:pt>
              </c:numCache>
            </c:numRef>
          </c:val>
          <c:extLst>
            <c:ext xmlns:c16="http://schemas.microsoft.com/office/drawing/2014/chart" uri="{C3380CC4-5D6E-409C-BE32-E72D297353CC}">
              <c16:uniqueId val="{00000000-09EC-4AD3-8118-82CFFECF9512}"/>
            </c:ext>
          </c:extLst>
        </c:ser>
        <c:dLbls>
          <c:showLegendKey val="0"/>
          <c:showVal val="0"/>
          <c:showCatName val="0"/>
          <c:showSerName val="0"/>
          <c:showPercent val="0"/>
          <c:showBubbleSize val="0"/>
        </c:dLbls>
        <c:gapWidth val="182"/>
        <c:axId val="702064927"/>
        <c:axId val="702065407"/>
      </c:barChart>
      <c:catAx>
        <c:axId val="70206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02065407"/>
        <c:crosses val="autoZero"/>
        <c:auto val="1"/>
        <c:lblAlgn val="ctr"/>
        <c:lblOffset val="100"/>
        <c:noMultiLvlLbl val="0"/>
      </c:catAx>
      <c:valAx>
        <c:axId val="702065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7020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Table!T5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Episodes</a:t>
            </a:r>
            <a:r>
              <a:rPr lang="en-US" sz="1400" b="1" baseline="0">
                <a:solidFill>
                  <a:schemeClr val="bg1"/>
                </a:solidFill>
                <a:latin typeface="Times New Roman" panose="02020603050405020304" pitchFamily="18" charset="0"/>
                <a:cs typeface="Times New Roman" panose="02020603050405020304" pitchFamily="18" charset="0"/>
              </a:rPr>
              <a:t> Vs Ratings</a:t>
            </a:r>
            <a:endParaRPr lang="en-US" sz="14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Table'!$P$25</c:f>
              <c:strCache>
                <c:ptCount val="1"/>
                <c:pt idx="0">
                  <c:v>Total</c:v>
                </c:pt>
              </c:strCache>
            </c:strRef>
          </c:tx>
          <c:spPr>
            <a:solidFill>
              <a:srgbClr val="FFCCFF"/>
            </a:solidFill>
            <a:ln>
              <a:noFill/>
            </a:ln>
            <a:effectLst/>
          </c:spPr>
          <c:invertIfNegative val="0"/>
          <c:cat>
            <c:strRef>
              <c:f>'Pivot Table'!$O$26:$O$40</c:f>
              <c:strCache>
                <c:ptCount val="14"/>
                <c:pt idx="0">
                  <c:v>61-72</c:v>
                </c:pt>
                <c:pt idx="1">
                  <c:v>145-156</c:v>
                </c:pt>
                <c:pt idx="2">
                  <c:v>49-60</c:v>
                </c:pt>
                <c:pt idx="3">
                  <c:v>73-84</c:v>
                </c:pt>
                <c:pt idx="4">
                  <c:v>25-36</c:v>
                </c:pt>
                <c:pt idx="5">
                  <c:v>37-48</c:v>
                </c:pt>
                <c:pt idx="6">
                  <c:v>121-132</c:v>
                </c:pt>
                <c:pt idx="7">
                  <c:v>&gt;301</c:v>
                </c:pt>
                <c:pt idx="8">
                  <c:v>13-24</c:v>
                </c:pt>
                <c:pt idx="9">
                  <c:v>1-12</c:v>
                </c:pt>
                <c:pt idx="10">
                  <c:v>97-108</c:v>
                </c:pt>
                <c:pt idx="11">
                  <c:v>217-228</c:v>
                </c:pt>
                <c:pt idx="12">
                  <c:v>169-180</c:v>
                </c:pt>
                <c:pt idx="13">
                  <c:v>289-300</c:v>
                </c:pt>
              </c:strCache>
            </c:strRef>
          </c:cat>
          <c:val>
            <c:numRef>
              <c:f>'Pivot Table'!$P$26:$P$40</c:f>
              <c:numCache>
                <c:formatCode>General</c:formatCode>
                <c:ptCount val="14"/>
                <c:pt idx="0">
                  <c:v>9.1</c:v>
                </c:pt>
                <c:pt idx="1">
                  <c:v>8.8000000000000007</c:v>
                </c:pt>
                <c:pt idx="2">
                  <c:v>8.5</c:v>
                </c:pt>
                <c:pt idx="3">
                  <c:v>8.4</c:v>
                </c:pt>
                <c:pt idx="4">
                  <c:v>8.3357142857142872</c:v>
                </c:pt>
                <c:pt idx="5">
                  <c:v>8.3285714285714292</c:v>
                </c:pt>
                <c:pt idx="6">
                  <c:v>8.3000000000000007</c:v>
                </c:pt>
                <c:pt idx="7">
                  <c:v>8.2199999999999989</c:v>
                </c:pt>
                <c:pt idx="8">
                  <c:v>8.1953124999999982</c:v>
                </c:pt>
                <c:pt idx="9">
                  <c:v>8.169014084507042</c:v>
                </c:pt>
                <c:pt idx="10">
                  <c:v>8</c:v>
                </c:pt>
                <c:pt idx="11">
                  <c:v>7.9</c:v>
                </c:pt>
                <c:pt idx="12">
                  <c:v>7.8</c:v>
                </c:pt>
                <c:pt idx="13">
                  <c:v>7.7</c:v>
                </c:pt>
              </c:numCache>
            </c:numRef>
          </c:val>
          <c:extLst>
            <c:ext xmlns:c16="http://schemas.microsoft.com/office/drawing/2014/chart" uri="{C3380CC4-5D6E-409C-BE32-E72D297353CC}">
              <c16:uniqueId val="{00000000-6F1B-4D7F-8D54-83EA26455C54}"/>
            </c:ext>
          </c:extLst>
        </c:ser>
        <c:dLbls>
          <c:showLegendKey val="0"/>
          <c:showVal val="0"/>
          <c:showCatName val="0"/>
          <c:showSerName val="0"/>
          <c:showPercent val="0"/>
          <c:showBubbleSize val="0"/>
        </c:dLbls>
        <c:gapWidth val="219"/>
        <c:overlap val="-27"/>
        <c:axId val="586765935"/>
        <c:axId val="586762575"/>
      </c:barChart>
      <c:catAx>
        <c:axId val="586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6762575"/>
        <c:crosses val="autoZero"/>
        <c:auto val="1"/>
        <c:lblAlgn val="ctr"/>
        <c:lblOffset val="100"/>
        <c:noMultiLvlLbl val="0"/>
      </c:catAx>
      <c:valAx>
        <c:axId val="58676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58676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33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[Project_anime_dataset.xlsx]Pivot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Top</a:t>
            </a:r>
            <a:r>
              <a:rPr lang="en-US" b="1" baseline="0">
                <a:solidFill>
                  <a:schemeClr val="bg1"/>
                </a:solidFill>
                <a:latin typeface="Times New Roman" panose="02020603050405020304" pitchFamily="18" charset="0"/>
                <a:cs typeface="Times New Roman" panose="02020603050405020304" pitchFamily="18" charset="0"/>
              </a:rPr>
              <a:t> Most Popular Anime</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Table'!$AA$41</c:f>
              <c:strCache>
                <c:ptCount val="1"/>
                <c:pt idx="0">
                  <c:v>Total</c:v>
                </c:pt>
              </c:strCache>
            </c:strRef>
          </c:tx>
          <c:spPr>
            <a:solidFill>
              <a:srgbClr val="FF0000"/>
            </a:solidFill>
            <a:ln>
              <a:noFill/>
            </a:ln>
            <a:effectLst/>
          </c:spPr>
          <c:invertIfNegative val="0"/>
          <c:cat>
            <c:strRef>
              <c:f>'Pivot Table'!$Z$42:$Z$52</c:f>
              <c:strCache>
                <c:ptCount val="10"/>
                <c:pt idx="0">
                  <c:v>Demon Slayer: Kimetsu no Yaiba - Hashira Training Arc</c:v>
                </c:pt>
                <c:pt idx="1">
                  <c:v>Boruto: Naruto Next Generations</c:v>
                </c:pt>
                <c:pt idx="2">
                  <c:v>Tokyo Ghoul - Season 1</c:v>
                </c:pt>
                <c:pt idx="3">
                  <c:v>Ranking of Kings - Season 1</c:v>
                </c:pt>
                <c:pt idx="4">
                  <c:v>One Punch Man - Season 1</c:v>
                </c:pt>
                <c:pt idx="5">
                  <c:v>Arcane</c:v>
                </c:pt>
                <c:pt idx="6">
                  <c:v>The Seven Deadly Sins - Season 1</c:v>
                </c:pt>
                <c:pt idx="7">
                  <c:v>Oshi no Ko - Season 1</c:v>
                </c:pt>
                <c:pt idx="8">
                  <c:v>Pokemon - Season 1: Indigo League</c:v>
                </c:pt>
                <c:pt idx="9">
                  <c:v>Dragon Ball Z</c:v>
                </c:pt>
              </c:strCache>
            </c:strRef>
          </c:cat>
          <c:val>
            <c:numRef>
              <c:f>'Pivot Table'!$AA$42:$AA$52</c:f>
              <c:numCache>
                <c:formatCode>General</c:formatCode>
                <c:ptCount val="10"/>
                <c:pt idx="0">
                  <c:v>4228767</c:v>
                </c:pt>
                <c:pt idx="1">
                  <c:v>4500000</c:v>
                </c:pt>
                <c:pt idx="2">
                  <c:v>4500000</c:v>
                </c:pt>
                <c:pt idx="3">
                  <c:v>4500000</c:v>
                </c:pt>
                <c:pt idx="4">
                  <c:v>4567890</c:v>
                </c:pt>
                <c:pt idx="5">
                  <c:v>5000000</c:v>
                </c:pt>
                <c:pt idx="6">
                  <c:v>5000000</c:v>
                </c:pt>
                <c:pt idx="7">
                  <c:v>5000000</c:v>
                </c:pt>
                <c:pt idx="8">
                  <c:v>5678901</c:v>
                </c:pt>
                <c:pt idx="9">
                  <c:v>15432101</c:v>
                </c:pt>
              </c:numCache>
            </c:numRef>
          </c:val>
          <c:extLst>
            <c:ext xmlns:c16="http://schemas.microsoft.com/office/drawing/2014/chart" uri="{C3380CC4-5D6E-409C-BE32-E72D297353CC}">
              <c16:uniqueId val="{00000000-9123-432C-882D-6FF715D00FC2}"/>
            </c:ext>
          </c:extLst>
        </c:ser>
        <c:dLbls>
          <c:showLegendKey val="0"/>
          <c:showVal val="0"/>
          <c:showCatName val="0"/>
          <c:showSerName val="0"/>
          <c:showPercent val="0"/>
          <c:showBubbleSize val="0"/>
        </c:dLbls>
        <c:gapWidth val="182"/>
        <c:axId val="677411199"/>
        <c:axId val="711825007"/>
      </c:barChart>
      <c:catAx>
        <c:axId val="677411199"/>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1" i="0" u="none" strike="noStrike" kern="1200" baseline="0">
                <a:ln>
                  <a:noFill/>
                </a:ln>
                <a:solidFill>
                  <a:schemeClr val="accent4">
                    <a:lumMod val="20000"/>
                    <a:lumOff val="80000"/>
                  </a:schemeClr>
                </a:solidFill>
                <a:latin typeface="+mn-lt"/>
                <a:ea typeface="+mn-ea"/>
                <a:cs typeface="+mn-cs"/>
              </a:defRPr>
            </a:pPr>
            <a:endParaRPr lang="en-US"/>
          </a:p>
        </c:txPr>
        <c:crossAx val="711825007"/>
        <c:crosses val="autoZero"/>
        <c:auto val="1"/>
        <c:lblAlgn val="ctr"/>
        <c:lblOffset val="100"/>
        <c:noMultiLvlLbl val="0"/>
      </c:catAx>
      <c:valAx>
        <c:axId val="71182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6774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335280</xdr:colOff>
      <xdr:row>6</xdr:row>
      <xdr:rowOff>41910</xdr:rowOff>
    </xdr:from>
    <xdr:to>
      <xdr:col>11</xdr:col>
      <xdr:colOff>30480</xdr:colOff>
      <xdr:row>21</xdr:row>
      <xdr:rowOff>41910</xdr:rowOff>
    </xdr:to>
    <xdr:graphicFrame macro="">
      <xdr:nvGraphicFramePr>
        <xdr:cNvPr id="2" name="Chart 1">
          <a:extLst>
            <a:ext uri="{FF2B5EF4-FFF2-40B4-BE49-F238E27FC236}">
              <a16:creationId xmlns:a16="http://schemas.microsoft.com/office/drawing/2014/main" id="{89F98FE0-BE74-54FA-CC0F-6AF1DBB14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967740</xdr:colOff>
      <xdr:row>52</xdr:row>
      <xdr:rowOff>41910</xdr:rowOff>
    </xdr:from>
    <xdr:to>
      <xdr:col>10</xdr:col>
      <xdr:colOff>160020</xdr:colOff>
      <xdr:row>67</xdr:row>
      <xdr:rowOff>41910</xdr:rowOff>
    </xdr:to>
    <xdr:graphicFrame macro="">
      <xdr:nvGraphicFramePr>
        <xdr:cNvPr id="3" name="Chart 2">
          <a:extLst>
            <a:ext uri="{FF2B5EF4-FFF2-40B4-BE49-F238E27FC236}">
              <a16:creationId xmlns:a16="http://schemas.microsoft.com/office/drawing/2014/main" id="{BF63EA34-1AEA-0365-1FA0-0C71AA323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74</xdr:row>
      <xdr:rowOff>45720</xdr:rowOff>
    </xdr:from>
    <xdr:to>
      <xdr:col>12</xdr:col>
      <xdr:colOff>243840</xdr:colOff>
      <xdr:row>90</xdr:row>
      <xdr:rowOff>7620</xdr:rowOff>
    </xdr:to>
    <xdr:graphicFrame macro="">
      <xdr:nvGraphicFramePr>
        <xdr:cNvPr id="4" name="Chart 3">
          <a:extLst>
            <a:ext uri="{FF2B5EF4-FFF2-40B4-BE49-F238E27FC236}">
              <a16:creationId xmlns:a16="http://schemas.microsoft.com/office/drawing/2014/main" id="{500E579A-882A-625E-7588-A7945F290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5</xdr:row>
      <xdr:rowOff>99060</xdr:rowOff>
    </xdr:from>
    <xdr:to>
      <xdr:col>22</xdr:col>
      <xdr:colOff>320040</xdr:colOff>
      <xdr:row>20</xdr:row>
      <xdr:rowOff>99060</xdr:rowOff>
    </xdr:to>
    <xdr:graphicFrame macro="">
      <xdr:nvGraphicFramePr>
        <xdr:cNvPr id="6" name="Chart 5">
          <a:extLst>
            <a:ext uri="{FF2B5EF4-FFF2-40B4-BE49-F238E27FC236}">
              <a16:creationId xmlns:a16="http://schemas.microsoft.com/office/drawing/2014/main" id="{E08E6D25-C002-73FE-B766-47E082A41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896216</xdr:colOff>
      <xdr:row>24</xdr:row>
      <xdr:rowOff>104775</xdr:rowOff>
    </xdr:from>
    <xdr:to>
      <xdr:col>22</xdr:col>
      <xdr:colOff>671079</xdr:colOff>
      <xdr:row>39</xdr:row>
      <xdr:rowOff>120362</xdr:rowOff>
    </xdr:to>
    <xdr:graphicFrame macro="">
      <xdr:nvGraphicFramePr>
        <xdr:cNvPr id="9" name="Chart 8">
          <a:extLst>
            <a:ext uri="{FF2B5EF4-FFF2-40B4-BE49-F238E27FC236}">
              <a16:creationId xmlns:a16="http://schemas.microsoft.com/office/drawing/2014/main" id="{3E37CF59-5A9E-42C4-DCD4-CF39BEBF4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38966</xdr:colOff>
      <xdr:row>22</xdr:row>
      <xdr:rowOff>18184</xdr:rowOff>
    </xdr:from>
    <xdr:to>
      <xdr:col>35</xdr:col>
      <xdr:colOff>368011</xdr:colOff>
      <xdr:row>37</xdr:row>
      <xdr:rowOff>33770</xdr:rowOff>
    </xdr:to>
    <xdr:graphicFrame macro="">
      <xdr:nvGraphicFramePr>
        <xdr:cNvPr id="12" name="Chart 11">
          <a:extLst>
            <a:ext uri="{FF2B5EF4-FFF2-40B4-BE49-F238E27FC236}">
              <a16:creationId xmlns:a16="http://schemas.microsoft.com/office/drawing/2014/main" id="{F7127A56-6DF5-03B7-1B02-5AD1E11E9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271896</xdr:colOff>
      <xdr:row>10</xdr:row>
      <xdr:rowOff>140277</xdr:rowOff>
    </xdr:from>
    <xdr:to>
      <xdr:col>40</xdr:col>
      <xdr:colOff>297656</xdr:colOff>
      <xdr:row>24</xdr:row>
      <xdr:rowOff>61479</xdr:rowOff>
    </xdr:to>
    <mc:AlternateContent xmlns:mc="http://schemas.openxmlformats.org/markup-compatibility/2006" xmlns:a14="http://schemas.microsoft.com/office/drawing/2010/main">
      <mc:Choice Requires="a14">
        <xdr:graphicFrame macro="">
          <xdr:nvGraphicFramePr>
            <xdr:cNvPr id="13" name="anime_type">
              <a:extLst>
                <a:ext uri="{FF2B5EF4-FFF2-40B4-BE49-F238E27FC236}">
                  <a16:creationId xmlns:a16="http://schemas.microsoft.com/office/drawing/2014/main" id="{CB9F053C-C0BE-BE42-7CEA-86ACEC46C4E8}"/>
                </a:ext>
              </a:extLst>
            </xdr:cNvPr>
            <xdr:cNvGraphicFramePr/>
          </xdr:nvGraphicFramePr>
          <xdr:xfrm>
            <a:off x="0" y="0"/>
            <a:ext cx="0" cy="0"/>
          </xdr:xfrm>
          <a:graphic>
            <a:graphicData uri="http://schemas.microsoft.com/office/drawing/2010/slicer">
              <sle:slicer xmlns:sle="http://schemas.microsoft.com/office/drawing/2010/slicer" name="anime_type"/>
            </a:graphicData>
          </a:graphic>
        </xdr:graphicFrame>
      </mc:Choice>
      <mc:Fallback xmlns="">
        <xdr:sp macro="" textlink="">
          <xdr:nvSpPr>
            <xdr:cNvPr id="0" name=""/>
            <xdr:cNvSpPr>
              <a:spLocks noTextEdit="1"/>
            </xdr:cNvSpPr>
          </xdr:nvSpPr>
          <xdr:spPr>
            <a:xfrm>
              <a:off x="27202091" y="1998814"/>
              <a:ext cx="2479028" cy="2523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202985</xdr:colOff>
      <xdr:row>5</xdr:row>
      <xdr:rowOff>26103</xdr:rowOff>
    </xdr:from>
    <xdr:to>
      <xdr:col>39</xdr:col>
      <xdr:colOff>186447</xdr:colOff>
      <xdr:row>10</xdr:row>
      <xdr:rowOff>8107</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A385016F-D215-667F-A904-54601F8B03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7133180" y="955371"/>
              <a:ext cx="1823413" cy="911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441474</xdr:colOff>
      <xdr:row>4</xdr:row>
      <xdr:rowOff>172181</xdr:rowOff>
    </xdr:from>
    <xdr:to>
      <xdr:col>46</xdr:col>
      <xdr:colOff>131162</xdr:colOff>
      <xdr:row>12</xdr:row>
      <xdr:rowOff>52206</xdr:rowOff>
    </xdr:to>
    <mc:AlternateContent xmlns:mc="http://schemas.openxmlformats.org/markup-compatibility/2006" xmlns:tsle="http://schemas.microsoft.com/office/drawing/2012/timeslicer">
      <mc:Choice Requires="tsle">
        <xdr:graphicFrame macro="">
          <xdr:nvGraphicFramePr>
            <xdr:cNvPr id="15" name="aired_start">
              <a:extLst>
                <a:ext uri="{FF2B5EF4-FFF2-40B4-BE49-F238E27FC236}">
                  <a16:creationId xmlns:a16="http://schemas.microsoft.com/office/drawing/2014/main" id="{2F965845-AC11-066D-5974-E25E5750B07D}"/>
                </a:ext>
              </a:extLst>
            </xdr:cNvPr>
            <xdr:cNvGraphicFramePr/>
          </xdr:nvGraphicFramePr>
          <xdr:xfrm>
            <a:off x="0" y="0"/>
            <a:ext cx="0" cy="0"/>
          </xdr:xfrm>
          <a:graphic>
            <a:graphicData uri="http://schemas.microsoft.com/office/drawing/2012/timeslicer">
              <tsle:timeslicer name="aired_start"/>
            </a:graphicData>
          </a:graphic>
        </xdr:graphicFrame>
      </mc:Choice>
      <mc:Fallback xmlns="">
        <xdr:sp macro="" textlink="">
          <xdr:nvSpPr>
            <xdr:cNvPr id="0" name=""/>
            <xdr:cNvSpPr>
              <a:spLocks noTextEdit="1"/>
            </xdr:cNvSpPr>
          </xdr:nvSpPr>
          <xdr:spPr>
            <a:xfrm>
              <a:off x="29824937" y="915596"/>
              <a:ext cx="3369591" cy="13668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27</xdr:col>
      <xdr:colOff>494489</xdr:colOff>
      <xdr:row>39</xdr:row>
      <xdr:rowOff>75389</xdr:rowOff>
    </xdr:from>
    <xdr:to>
      <xdr:col>35</xdr:col>
      <xdr:colOff>202659</xdr:colOff>
      <xdr:row>54</xdr:row>
      <xdr:rowOff>21887</xdr:rowOff>
    </xdr:to>
    <xdr:graphicFrame macro="">
      <xdr:nvGraphicFramePr>
        <xdr:cNvPr id="16" name="Chart 15">
          <a:extLst>
            <a:ext uri="{FF2B5EF4-FFF2-40B4-BE49-F238E27FC236}">
              <a16:creationId xmlns:a16="http://schemas.microsoft.com/office/drawing/2014/main" id="{7037FD72-DCD6-8C4B-343E-324DD67E0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390525</xdr:colOff>
      <xdr:row>5</xdr:row>
      <xdr:rowOff>166370</xdr:rowOff>
    </xdr:from>
    <xdr:to>
      <xdr:col>17</xdr:col>
      <xdr:colOff>91129</xdr:colOff>
      <xdr:row>11</xdr:row>
      <xdr:rowOff>87706</xdr:rowOff>
    </xdr:to>
    <xdr:sp macro="" textlink="">
      <xdr:nvSpPr>
        <xdr:cNvPr id="33" name="Rectangle: Rounded Corners 32">
          <a:extLst>
            <a:ext uri="{FF2B5EF4-FFF2-40B4-BE49-F238E27FC236}">
              <a16:creationId xmlns:a16="http://schemas.microsoft.com/office/drawing/2014/main" id="{1B321667-FBDD-4E20-BA1D-E06D9E19BDEA}"/>
            </a:ext>
          </a:extLst>
        </xdr:cNvPr>
        <xdr:cNvSpPr/>
      </xdr:nvSpPr>
      <xdr:spPr>
        <a:xfrm>
          <a:off x="7705725" y="1055370"/>
          <a:ext cx="2748604" cy="988136"/>
        </a:xfrm>
        <a:prstGeom prst="round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333375</xdr:colOff>
      <xdr:row>5</xdr:row>
      <xdr:rowOff>160020</xdr:rowOff>
    </xdr:from>
    <xdr:to>
      <xdr:col>15</xdr:col>
      <xdr:colOff>594294</xdr:colOff>
      <xdr:row>10</xdr:row>
      <xdr:rowOff>40527</xdr:rowOff>
    </xdr:to>
    <xdr:sp macro="" textlink="">
      <xdr:nvSpPr>
        <xdr:cNvPr id="9" name="Rectangle: Rounded Corners 8">
          <a:extLst>
            <a:ext uri="{FF2B5EF4-FFF2-40B4-BE49-F238E27FC236}">
              <a16:creationId xmlns:a16="http://schemas.microsoft.com/office/drawing/2014/main" id="{1B441B52-C107-49E1-98C8-9DCFD6658C70}"/>
            </a:ext>
          </a:extLst>
        </xdr:cNvPr>
        <xdr:cNvSpPr/>
      </xdr:nvSpPr>
      <xdr:spPr>
        <a:xfrm>
          <a:off x="7648575" y="1064895"/>
          <a:ext cx="2089719" cy="785382"/>
        </a:xfrm>
        <a:prstGeom prst="round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342900</xdr:colOff>
      <xdr:row>0</xdr:row>
      <xdr:rowOff>121920</xdr:rowOff>
    </xdr:from>
    <xdr:to>
      <xdr:col>26</xdr:col>
      <xdr:colOff>508000</xdr:colOff>
      <xdr:row>43</xdr:row>
      <xdr:rowOff>76200</xdr:rowOff>
    </xdr:to>
    <xdr:grpSp>
      <xdr:nvGrpSpPr>
        <xdr:cNvPr id="3" name="Group 2">
          <a:extLst>
            <a:ext uri="{FF2B5EF4-FFF2-40B4-BE49-F238E27FC236}">
              <a16:creationId xmlns:a16="http://schemas.microsoft.com/office/drawing/2014/main" id="{C2244EB7-B0A7-A022-95F2-507C8E1FDF82}"/>
            </a:ext>
          </a:extLst>
        </xdr:cNvPr>
        <xdr:cNvGrpSpPr/>
      </xdr:nvGrpSpPr>
      <xdr:grpSpPr>
        <a:xfrm>
          <a:off x="1569107" y="121920"/>
          <a:ext cx="14879583" cy="7863314"/>
          <a:chOff x="1164298" y="1"/>
          <a:chExt cx="11027702" cy="6858000"/>
        </a:xfrm>
        <a:solidFill>
          <a:schemeClr val="accent4">
            <a:lumMod val="20000"/>
            <a:lumOff val="80000"/>
          </a:schemeClr>
        </a:solidFill>
      </xdr:grpSpPr>
      <xdr:sp macro="" textlink="">
        <xdr:nvSpPr>
          <xdr:cNvPr id="12" name="Rectangle: Rounded Corners 11">
            <a:extLst>
              <a:ext uri="{FF2B5EF4-FFF2-40B4-BE49-F238E27FC236}">
                <a16:creationId xmlns:a16="http://schemas.microsoft.com/office/drawing/2014/main" id="{35E32E9D-534A-0BFC-6BD9-55F13DA6F9C9}"/>
              </a:ext>
            </a:extLst>
          </xdr:cNvPr>
          <xdr:cNvSpPr/>
        </xdr:nvSpPr>
        <xdr:spPr>
          <a:xfrm>
            <a:off x="1164298" y="1"/>
            <a:ext cx="11027702" cy="6858000"/>
          </a:xfrm>
          <a:prstGeom prst="roundRect">
            <a:avLst>
              <a:gd name="adj" fmla="val 0"/>
            </a:avLst>
          </a:prstGeom>
          <a:grp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13" name="Group 12">
            <a:extLst>
              <a:ext uri="{FF2B5EF4-FFF2-40B4-BE49-F238E27FC236}">
                <a16:creationId xmlns:a16="http://schemas.microsoft.com/office/drawing/2014/main" id="{7E036E80-2132-5F91-97EA-0F5FB0C33CBF}"/>
              </a:ext>
            </a:extLst>
          </xdr:cNvPr>
          <xdr:cNvGrpSpPr/>
        </xdr:nvGrpSpPr>
        <xdr:grpSpPr>
          <a:xfrm>
            <a:off x="3152124" y="143198"/>
            <a:ext cx="6778619" cy="1659783"/>
            <a:chOff x="3152124" y="143198"/>
            <a:chExt cx="6778619" cy="1659783"/>
          </a:xfrm>
          <a:grpFill/>
        </xdr:grpSpPr>
        <xdr:sp macro="" textlink="">
          <xdr:nvSpPr>
            <xdr:cNvPr id="14" name="Rectangle: Rounded Corners 13">
              <a:extLst>
                <a:ext uri="{FF2B5EF4-FFF2-40B4-BE49-F238E27FC236}">
                  <a16:creationId xmlns:a16="http://schemas.microsoft.com/office/drawing/2014/main" id="{5A4D235E-D667-7ACF-5B78-0FC81D2F9DA2}"/>
                </a:ext>
              </a:extLst>
            </xdr:cNvPr>
            <xdr:cNvSpPr/>
          </xdr:nvSpPr>
          <xdr:spPr>
            <a:xfrm>
              <a:off x="3506497" y="143198"/>
              <a:ext cx="6424246" cy="594987"/>
            </a:xfrm>
            <a:prstGeom prst="roundRect">
              <a:avLst/>
            </a:prstGeom>
            <a:solidFill>
              <a:schemeClr val="accent5">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6" name="Rectangle: Rounded Corners 15">
              <a:extLst>
                <a:ext uri="{FF2B5EF4-FFF2-40B4-BE49-F238E27FC236}">
                  <a16:creationId xmlns:a16="http://schemas.microsoft.com/office/drawing/2014/main" id="{F05CB199-63EA-A593-FAA1-08EA6E762EA1}"/>
                </a:ext>
              </a:extLst>
            </xdr:cNvPr>
            <xdr:cNvSpPr/>
          </xdr:nvSpPr>
          <xdr:spPr>
            <a:xfrm>
              <a:off x="3152124" y="901107"/>
              <a:ext cx="1561863" cy="901874"/>
            </a:xfrm>
            <a:prstGeom prst="round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clientData/>
  </xdr:twoCellAnchor>
  <xdr:twoCellAnchor>
    <xdr:from>
      <xdr:col>9</xdr:col>
      <xdr:colOff>338600</xdr:colOff>
      <xdr:row>1</xdr:row>
      <xdr:rowOff>148883</xdr:rowOff>
    </xdr:from>
    <xdr:to>
      <xdr:col>19</xdr:col>
      <xdr:colOff>596509</xdr:colOff>
      <xdr:row>4</xdr:row>
      <xdr:rowOff>101991</xdr:rowOff>
    </xdr:to>
    <xdr:sp macro="" textlink="">
      <xdr:nvSpPr>
        <xdr:cNvPr id="19" name="TextBox 18">
          <a:extLst>
            <a:ext uri="{FF2B5EF4-FFF2-40B4-BE49-F238E27FC236}">
              <a16:creationId xmlns:a16="http://schemas.microsoft.com/office/drawing/2014/main" id="{803FC54D-8A7F-712B-3E75-BDA117D278FB}"/>
            </a:ext>
          </a:extLst>
        </xdr:cNvPr>
        <xdr:cNvSpPr txBox="1"/>
      </xdr:nvSpPr>
      <xdr:spPr>
        <a:xfrm>
          <a:off x="5825000" y="326683"/>
          <a:ext cx="6353909" cy="486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Franklin Gothic Heavy" panose="020B0903020102020204" pitchFamily="34" charset="0"/>
            </a:rPr>
            <a:t>Anime Performance Dashboard</a:t>
          </a:r>
        </a:p>
      </xdr:txBody>
    </xdr:sp>
    <xdr:clientData/>
  </xdr:twoCellAnchor>
  <xdr:twoCellAnchor>
    <xdr:from>
      <xdr:col>8</xdr:col>
      <xdr:colOff>17780</xdr:colOff>
      <xdr:row>8</xdr:row>
      <xdr:rowOff>86751</xdr:rowOff>
    </xdr:from>
    <xdr:to>
      <xdr:col>9</xdr:col>
      <xdr:colOff>369473</xdr:colOff>
      <xdr:row>11</xdr:row>
      <xdr:rowOff>110196</xdr:rowOff>
    </xdr:to>
    <xdr:sp macro="" textlink="'Pivot Table'!A3">
      <xdr:nvSpPr>
        <xdr:cNvPr id="20" name="TextBox 19">
          <a:extLst>
            <a:ext uri="{FF2B5EF4-FFF2-40B4-BE49-F238E27FC236}">
              <a16:creationId xmlns:a16="http://schemas.microsoft.com/office/drawing/2014/main" id="{0B4ECEFF-5C01-5A03-DAFA-F83B4A1B3B90}"/>
            </a:ext>
          </a:extLst>
        </xdr:cNvPr>
        <xdr:cNvSpPr txBox="1"/>
      </xdr:nvSpPr>
      <xdr:spPr>
        <a:xfrm>
          <a:off x="4894580" y="1509151"/>
          <a:ext cx="961293" cy="556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583691-91ED-4CD9-93B8-5187E8FC4996}" type="TxLink">
            <a:rPr lang="en-US" sz="3200" b="0" i="0" u="none" strike="noStrike">
              <a:solidFill>
                <a:srgbClr val="000000"/>
              </a:solidFill>
              <a:latin typeface="Calibri"/>
              <a:ea typeface="Calibri"/>
              <a:cs typeface="Calibri"/>
            </a:rPr>
            <a:pPr/>
            <a:t>206</a:t>
          </a:fld>
          <a:endParaRPr lang="en-IN" sz="3200"/>
        </a:p>
      </xdr:txBody>
    </xdr:sp>
    <xdr:clientData/>
  </xdr:twoCellAnchor>
  <xdr:twoCellAnchor>
    <xdr:from>
      <xdr:col>7</xdr:col>
      <xdr:colOff>164515</xdr:colOff>
      <xdr:row>6</xdr:row>
      <xdr:rowOff>145757</xdr:rowOff>
    </xdr:from>
    <xdr:to>
      <xdr:col>10</xdr:col>
      <xdr:colOff>129344</xdr:colOff>
      <xdr:row>8</xdr:row>
      <xdr:rowOff>160021</xdr:rowOff>
    </xdr:to>
    <xdr:sp macro="" textlink="'Pivot Table'!A3">
      <xdr:nvSpPr>
        <xdr:cNvPr id="23" name="TextBox 22">
          <a:extLst>
            <a:ext uri="{FF2B5EF4-FFF2-40B4-BE49-F238E27FC236}">
              <a16:creationId xmlns:a16="http://schemas.microsoft.com/office/drawing/2014/main" id="{6D1161B3-27B0-46AE-90F1-EA1E51548336}"/>
            </a:ext>
          </a:extLst>
        </xdr:cNvPr>
        <xdr:cNvSpPr txBox="1"/>
      </xdr:nvSpPr>
      <xdr:spPr>
        <a:xfrm>
          <a:off x="4431715" y="1212557"/>
          <a:ext cx="1793629" cy="369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FF0000"/>
              </a:solidFill>
            </a:rPr>
            <a:t>Total</a:t>
          </a:r>
          <a:r>
            <a:rPr lang="en-IN" sz="1800" b="1" baseline="0">
              <a:solidFill>
                <a:srgbClr val="FF0000"/>
              </a:solidFill>
            </a:rPr>
            <a:t> Anime</a:t>
          </a:r>
          <a:endParaRPr lang="en-IN" sz="1800" b="1">
            <a:solidFill>
              <a:srgbClr val="FF0000"/>
            </a:solidFill>
          </a:endParaRPr>
        </a:p>
      </xdr:txBody>
    </xdr:sp>
    <xdr:clientData/>
  </xdr:twoCellAnchor>
  <xdr:twoCellAnchor>
    <xdr:from>
      <xdr:col>20</xdr:col>
      <xdr:colOff>558800</xdr:colOff>
      <xdr:row>6</xdr:row>
      <xdr:rowOff>25400</xdr:rowOff>
    </xdr:from>
    <xdr:to>
      <xdr:col>26</xdr:col>
      <xdr:colOff>317500</xdr:colOff>
      <xdr:row>22</xdr:row>
      <xdr:rowOff>85090</xdr:rowOff>
    </xdr:to>
    <xdr:graphicFrame macro="">
      <xdr:nvGraphicFramePr>
        <xdr:cNvPr id="26" name="Chart 25">
          <a:extLst>
            <a:ext uri="{FF2B5EF4-FFF2-40B4-BE49-F238E27FC236}">
              <a16:creationId xmlns:a16="http://schemas.microsoft.com/office/drawing/2014/main" id="{E7D8CA42-8BF5-4182-B267-0F9B1B8BF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431801</xdr:colOff>
      <xdr:row>23</xdr:row>
      <xdr:rowOff>12700</xdr:rowOff>
    </xdr:from>
    <xdr:to>
      <xdr:col>16</xdr:col>
      <xdr:colOff>76200</xdr:colOff>
      <xdr:row>42</xdr:row>
      <xdr:rowOff>47625</xdr:rowOff>
    </xdr:to>
    <xdr:graphicFrame macro="">
      <xdr:nvGraphicFramePr>
        <xdr:cNvPr id="27" name="Chart 26">
          <a:extLst>
            <a:ext uri="{FF2B5EF4-FFF2-40B4-BE49-F238E27FC236}">
              <a16:creationId xmlns:a16="http://schemas.microsoft.com/office/drawing/2014/main" id="{F929719E-BE8E-4AB4-A01B-63A517535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xdr:row>
      <xdr:rowOff>25400</xdr:rowOff>
    </xdr:from>
    <xdr:to>
      <xdr:col>20</xdr:col>
      <xdr:colOff>431800</xdr:colOff>
      <xdr:row>22</xdr:row>
      <xdr:rowOff>126673</xdr:rowOff>
    </xdr:to>
    <xdr:graphicFrame macro="">
      <xdr:nvGraphicFramePr>
        <xdr:cNvPr id="28" name="Chart 27">
          <a:extLst>
            <a:ext uri="{FF2B5EF4-FFF2-40B4-BE49-F238E27FC236}">
              <a16:creationId xmlns:a16="http://schemas.microsoft.com/office/drawing/2014/main" id="{5BB27F36-ADC0-4295-A1E9-F658ED9B6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196851</xdr:colOff>
      <xdr:row>23</xdr:row>
      <xdr:rowOff>12700</xdr:rowOff>
    </xdr:from>
    <xdr:to>
      <xdr:col>26</xdr:col>
      <xdr:colOff>279401</xdr:colOff>
      <xdr:row>42</xdr:row>
      <xdr:rowOff>25400</xdr:rowOff>
    </xdr:to>
    <xdr:graphicFrame macro="">
      <xdr:nvGraphicFramePr>
        <xdr:cNvPr id="29" name="Chart 28">
          <a:extLst>
            <a:ext uri="{FF2B5EF4-FFF2-40B4-BE49-F238E27FC236}">
              <a16:creationId xmlns:a16="http://schemas.microsoft.com/office/drawing/2014/main" id="{71EAF2C4-92F9-4961-9D50-4F5C9AA1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203200</xdr:colOff>
      <xdr:row>23</xdr:row>
      <xdr:rowOff>25400</xdr:rowOff>
    </xdr:from>
    <xdr:to>
      <xdr:col>22</xdr:col>
      <xdr:colOff>88901</xdr:colOff>
      <xdr:row>42</xdr:row>
      <xdr:rowOff>50800</xdr:rowOff>
    </xdr:to>
    <xdr:graphicFrame macro="">
      <xdr:nvGraphicFramePr>
        <xdr:cNvPr id="30" name="Chart 29">
          <a:extLst>
            <a:ext uri="{FF2B5EF4-FFF2-40B4-BE49-F238E27FC236}">
              <a16:creationId xmlns:a16="http://schemas.microsoft.com/office/drawing/2014/main" id="{5270B339-3A51-47A4-8E5F-0B14BFCDD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152401</xdr:colOff>
      <xdr:row>23</xdr:row>
      <xdr:rowOff>15876</xdr:rowOff>
    </xdr:from>
    <xdr:to>
      <xdr:col>9</xdr:col>
      <xdr:colOff>330201</xdr:colOff>
      <xdr:row>42</xdr:row>
      <xdr:rowOff>50800</xdr:rowOff>
    </xdr:to>
    <xdr:graphicFrame macro="">
      <xdr:nvGraphicFramePr>
        <xdr:cNvPr id="32" name="Chart 31">
          <a:extLst>
            <a:ext uri="{FF2B5EF4-FFF2-40B4-BE49-F238E27FC236}">
              <a16:creationId xmlns:a16="http://schemas.microsoft.com/office/drawing/2014/main" id="{AD96BFBB-588B-4670-81C3-925512910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305571</xdr:colOff>
      <xdr:row>13</xdr:row>
      <xdr:rowOff>35342</xdr:rowOff>
    </xdr:from>
    <xdr:to>
      <xdr:col>9</xdr:col>
      <xdr:colOff>1753</xdr:colOff>
      <xdr:row>21</xdr:row>
      <xdr:rowOff>93767</xdr:rowOff>
    </xdr:to>
    <mc:AlternateContent xmlns:mc="http://schemas.openxmlformats.org/markup-compatibility/2006" xmlns:tsle="http://schemas.microsoft.com/office/drawing/2012/timeslicer">
      <mc:Choice Requires="tsle">
        <xdr:graphicFrame macro="">
          <xdr:nvGraphicFramePr>
            <xdr:cNvPr id="35" name="aired_start 1">
              <a:extLst>
                <a:ext uri="{FF2B5EF4-FFF2-40B4-BE49-F238E27FC236}">
                  <a16:creationId xmlns:a16="http://schemas.microsoft.com/office/drawing/2014/main" id="{07A89935-0DC7-4AA0-99F4-75C1E24FE3F3}"/>
                </a:ext>
              </a:extLst>
            </xdr:cNvPr>
            <xdr:cNvGraphicFramePr/>
          </xdr:nvGraphicFramePr>
          <xdr:xfrm>
            <a:off x="0" y="0"/>
            <a:ext cx="0" cy="0"/>
          </xdr:xfrm>
          <a:graphic>
            <a:graphicData uri="http://schemas.microsoft.com/office/drawing/2012/timeslicer">
              <tsle:timeslicer name="aired_start 1"/>
            </a:graphicData>
          </a:graphic>
        </xdr:graphicFrame>
      </mc:Choice>
      <mc:Fallback xmlns="">
        <xdr:sp macro="" textlink="">
          <xdr:nvSpPr>
            <xdr:cNvPr id="0" name=""/>
            <xdr:cNvSpPr>
              <a:spLocks noTextEdit="1"/>
            </xdr:cNvSpPr>
          </xdr:nvSpPr>
          <xdr:spPr>
            <a:xfrm>
              <a:off x="3984192" y="2426445"/>
              <a:ext cx="1535492" cy="15298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135219</xdr:colOff>
      <xdr:row>13</xdr:row>
      <xdr:rowOff>127000</xdr:rowOff>
    </xdr:from>
    <xdr:to>
      <xdr:col>5</xdr:col>
      <xdr:colOff>596900</xdr:colOff>
      <xdr:row>22</xdr:row>
      <xdr:rowOff>25224</xdr:rowOff>
    </xdr:to>
    <mc:AlternateContent xmlns:mc="http://schemas.openxmlformats.org/markup-compatibility/2006" xmlns:a14="http://schemas.microsoft.com/office/drawing/2010/main">
      <mc:Choice Requires="a14">
        <xdr:graphicFrame macro="">
          <xdr:nvGraphicFramePr>
            <xdr:cNvPr id="36" name="anime_type 1">
              <a:extLst>
                <a:ext uri="{FF2B5EF4-FFF2-40B4-BE49-F238E27FC236}">
                  <a16:creationId xmlns:a16="http://schemas.microsoft.com/office/drawing/2014/main" id="{D5232843-84C1-4B01-9A87-5E3F99AB6B5A}"/>
                </a:ext>
              </a:extLst>
            </xdr:cNvPr>
            <xdr:cNvGraphicFramePr/>
          </xdr:nvGraphicFramePr>
          <xdr:xfrm>
            <a:off x="0" y="0"/>
            <a:ext cx="0" cy="0"/>
          </xdr:xfrm>
          <a:graphic>
            <a:graphicData uri="http://schemas.microsoft.com/office/drawing/2010/slicer">
              <sle:slicer xmlns:sle="http://schemas.microsoft.com/office/drawing/2010/slicer" name="anime_type 1"/>
            </a:graphicData>
          </a:graphic>
        </xdr:graphicFrame>
      </mc:Choice>
      <mc:Fallback xmlns="">
        <xdr:sp macro="" textlink="">
          <xdr:nvSpPr>
            <xdr:cNvPr id="0" name=""/>
            <xdr:cNvSpPr>
              <a:spLocks noTextEdit="1"/>
            </xdr:cNvSpPr>
          </xdr:nvSpPr>
          <xdr:spPr>
            <a:xfrm>
              <a:off x="1974529" y="2518103"/>
              <a:ext cx="1687888" cy="1553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6</xdr:row>
      <xdr:rowOff>139700</xdr:rowOff>
    </xdr:from>
    <xdr:to>
      <xdr:col>6</xdr:col>
      <xdr:colOff>139700</xdr:colOff>
      <xdr:row>11</xdr:row>
      <xdr:rowOff>126056</xdr:rowOff>
    </xdr:to>
    <mc:AlternateContent xmlns:mc="http://schemas.openxmlformats.org/markup-compatibility/2006" xmlns:a14="http://schemas.microsoft.com/office/drawing/2010/main">
      <mc:Choice Requires="a14">
        <xdr:graphicFrame macro="">
          <xdr:nvGraphicFramePr>
            <xdr:cNvPr id="4" name="status 2">
              <a:extLst>
                <a:ext uri="{FF2B5EF4-FFF2-40B4-BE49-F238E27FC236}">
                  <a16:creationId xmlns:a16="http://schemas.microsoft.com/office/drawing/2014/main" id="{5335CBA6-C2C8-4F80-84E5-611C45C69384}"/>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979010" y="1243286"/>
              <a:ext cx="1839311" cy="906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520700</xdr:colOff>
      <xdr:row>6</xdr:row>
      <xdr:rowOff>33020</xdr:rowOff>
    </xdr:from>
    <xdr:to>
      <xdr:col>14</xdr:col>
      <xdr:colOff>177800</xdr:colOff>
      <xdr:row>11</xdr:row>
      <xdr:rowOff>143430</xdr:rowOff>
    </xdr:to>
    <xdr:sp macro="" textlink="">
      <xdr:nvSpPr>
        <xdr:cNvPr id="38" name="Rectangle: Rounded Corners 37">
          <a:extLst>
            <a:ext uri="{FF2B5EF4-FFF2-40B4-BE49-F238E27FC236}">
              <a16:creationId xmlns:a16="http://schemas.microsoft.com/office/drawing/2014/main" id="{6E246C89-9176-4262-A5F0-8474A3310820}"/>
            </a:ext>
          </a:extLst>
        </xdr:cNvPr>
        <xdr:cNvSpPr/>
      </xdr:nvSpPr>
      <xdr:spPr>
        <a:xfrm>
          <a:off x="6616700" y="1099820"/>
          <a:ext cx="2095500" cy="999410"/>
        </a:xfrm>
        <a:prstGeom prst="round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511028</xdr:colOff>
      <xdr:row>7</xdr:row>
      <xdr:rowOff>158896</xdr:rowOff>
    </xdr:from>
    <xdr:to>
      <xdr:col>13</xdr:col>
      <xdr:colOff>581367</xdr:colOff>
      <xdr:row>11</xdr:row>
      <xdr:rowOff>4541</xdr:rowOff>
    </xdr:to>
    <xdr:sp macro="" textlink="'Pivot Table'!B3">
      <xdr:nvSpPr>
        <xdr:cNvPr id="21" name="TextBox 20">
          <a:extLst>
            <a:ext uri="{FF2B5EF4-FFF2-40B4-BE49-F238E27FC236}">
              <a16:creationId xmlns:a16="http://schemas.microsoft.com/office/drawing/2014/main" id="{7C3F3001-D18D-4B23-9B39-CCCEFF95AEF1}"/>
            </a:ext>
          </a:extLst>
        </xdr:cNvPr>
        <xdr:cNvSpPr txBox="1"/>
      </xdr:nvSpPr>
      <xdr:spPr>
        <a:xfrm>
          <a:off x="7216628" y="1403496"/>
          <a:ext cx="1289539" cy="556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789BFD-0B1F-4F8E-A96D-DF36772F3AF8}" type="TxLink">
            <a:rPr lang="en-US" sz="3200" b="0" i="0" u="none" strike="noStrike">
              <a:solidFill>
                <a:srgbClr val="000000"/>
              </a:solidFill>
              <a:latin typeface="Calibri"/>
              <a:ea typeface="Calibri"/>
              <a:cs typeface="Calibri"/>
            </a:rPr>
            <a:pPr/>
            <a:t>8.229411765</a:t>
          </a:fld>
          <a:endParaRPr lang="en-IN" sz="7200"/>
        </a:p>
      </xdr:txBody>
    </xdr:sp>
    <xdr:clientData/>
  </xdr:twoCellAnchor>
  <xdr:twoCellAnchor>
    <xdr:from>
      <xdr:col>10</xdr:col>
      <xdr:colOff>531349</xdr:colOff>
      <xdr:row>6</xdr:row>
      <xdr:rowOff>79764</xdr:rowOff>
    </xdr:from>
    <xdr:to>
      <xdr:col>14</xdr:col>
      <xdr:colOff>203102</xdr:colOff>
      <xdr:row>8</xdr:row>
      <xdr:rowOff>132715</xdr:rowOff>
    </xdr:to>
    <xdr:sp macro="" textlink="'Pivot Table'!A3">
      <xdr:nvSpPr>
        <xdr:cNvPr id="24" name="TextBox 23">
          <a:extLst>
            <a:ext uri="{FF2B5EF4-FFF2-40B4-BE49-F238E27FC236}">
              <a16:creationId xmlns:a16="http://schemas.microsoft.com/office/drawing/2014/main" id="{8799B67E-1595-4355-9742-416F44BF0F45}"/>
            </a:ext>
          </a:extLst>
        </xdr:cNvPr>
        <xdr:cNvSpPr txBox="1"/>
      </xdr:nvSpPr>
      <xdr:spPr>
        <a:xfrm>
          <a:off x="6627349" y="1146564"/>
          <a:ext cx="2110153" cy="40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FF0000"/>
              </a:solidFill>
            </a:rPr>
            <a:t>Average</a:t>
          </a:r>
          <a:r>
            <a:rPr lang="en-IN" sz="1800" b="1" baseline="0">
              <a:solidFill>
                <a:srgbClr val="FF0000"/>
              </a:solidFill>
            </a:rPr>
            <a:t> Ratings</a:t>
          </a:r>
          <a:endParaRPr lang="en-IN" sz="1800" b="1">
            <a:solidFill>
              <a:srgbClr val="FF0000"/>
            </a:solidFill>
          </a:endParaRPr>
        </a:p>
      </xdr:txBody>
    </xdr:sp>
    <xdr:clientData/>
  </xdr:twoCellAnchor>
  <xdr:twoCellAnchor>
    <xdr:from>
      <xdr:col>10</xdr:col>
      <xdr:colOff>558800</xdr:colOff>
      <xdr:row>13</xdr:row>
      <xdr:rowOff>134620</xdr:rowOff>
    </xdr:from>
    <xdr:to>
      <xdr:col>14</xdr:col>
      <xdr:colOff>215900</xdr:colOff>
      <xdr:row>19</xdr:row>
      <xdr:rowOff>67230</xdr:rowOff>
    </xdr:to>
    <xdr:sp macro="" textlink="">
      <xdr:nvSpPr>
        <xdr:cNvPr id="39" name="Rectangle: Rounded Corners 38">
          <a:extLst>
            <a:ext uri="{FF2B5EF4-FFF2-40B4-BE49-F238E27FC236}">
              <a16:creationId xmlns:a16="http://schemas.microsoft.com/office/drawing/2014/main" id="{2C1A0A15-69C3-4E10-934C-14427A8918D2}"/>
            </a:ext>
          </a:extLst>
        </xdr:cNvPr>
        <xdr:cNvSpPr/>
      </xdr:nvSpPr>
      <xdr:spPr>
        <a:xfrm>
          <a:off x="6654800" y="2446020"/>
          <a:ext cx="2095500" cy="999410"/>
        </a:xfrm>
        <a:prstGeom prst="roundRect">
          <a:avLst/>
        </a:prstGeom>
        <a:solidFill>
          <a:schemeClr val="accent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393358</xdr:colOff>
      <xdr:row>14</xdr:row>
      <xdr:rowOff>1026</xdr:rowOff>
    </xdr:from>
    <xdr:to>
      <xdr:col>14</xdr:col>
      <xdr:colOff>29942</xdr:colOff>
      <xdr:row>16</xdr:row>
      <xdr:rowOff>26670</xdr:rowOff>
    </xdr:to>
    <xdr:sp macro="" textlink="'Pivot Table'!A3">
      <xdr:nvSpPr>
        <xdr:cNvPr id="25" name="TextBox 24">
          <a:extLst>
            <a:ext uri="{FF2B5EF4-FFF2-40B4-BE49-F238E27FC236}">
              <a16:creationId xmlns:a16="http://schemas.microsoft.com/office/drawing/2014/main" id="{3D1CB3D1-DFFB-4A23-A032-0A932D0EDE92}"/>
            </a:ext>
          </a:extLst>
        </xdr:cNvPr>
        <xdr:cNvSpPr txBox="1"/>
      </xdr:nvSpPr>
      <xdr:spPr>
        <a:xfrm>
          <a:off x="7098958" y="2490226"/>
          <a:ext cx="1465384" cy="381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0000"/>
              </a:solidFill>
            </a:rPr>
            <a:t>Popularity</a:t>
          </a:r>
        </a:p>
      </xdr:txBody>
    </xdr:sp>
    <xdr:clientData/>
  </xdr:twoCellAnchor>
  <xdr:twoCellAnchor>
    <xdr:from>
      <xdr:col>11</xdr:col>
      <xdr:colOff>43131</xdr:colOff>
      <xdr:row>16</xdr:row>
      <xdr:rowOff>11234</xdr:rowOff>
    </xdr:from>
    <xdr:to>
      <xdr:col>14</xdr:col>
      <xdr:colOff>265870</xdr:colOff>
      <xdr:row>19</xdr:row>
      <xdr:rowOff>34679</xdr:rowOff>
    </xdr:to>
    <xdr:sp macro="" textlink="'Pivot Table'!C3">
      <xdr:nvSpPr>
        <xdr:cNvPr id="22" name="TextBox 21">
          <a:extLst>
            <a:ext uri="{FF2B5EF4-FFF2-40B4-BE49-F238E27FC236}">
              <a16:creationId xmlns:a16="http://schemas.microsoft.com/office/drawing/2014/main" id="{95D4AE73-B54B-415C-A69C-E66DCC8F6886}"/>
            </a:ext>
          </a:extLst>
        </xdr:cNvPr>
        <xdr:cNvSpPr txBox="1"/>
      </xdr:nvSpPr>
      <xdr:spPr>
        <a:xfrm>
          <a:off x="6748731" y="2856034"/>
          <a:ext cx="2051539" cy="556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B322D7-945E-4F73-8775-802493C47C96}" type="TxLink">
            <a:rPr lang="en-US" sz="3200" b="0" i="0" u="none" strike="noStrike">
              <a:solidFill>
                <a:srgbClr val="000000"/>
              </a:solidFill>
              <a:latin typeface="Calibri"/>
              <a:ea typeface="Calibri"/>
              <a:cs typeface="Calibri"/>
            </a:rPr>
            <a:pPr/>
            <a:t>315207593</a:t>
          </a:fld>
          <a:endParaRPr lang="en-IN" sz="7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7.382355671296" createdVersion="8" refreshedVersion="8" minRefreshableVersion="3" recordCount="206" xr:uid="{DC12A2C4-E8DC-424F-86DF-F814E17764D1}">
  <cacheSource type="worksheet">
    <worksheetSource name="Data"/>
  </cacheSource>
  <cacheFields count="26">
    <cacheField name="anime_id" numFmtId="0">
      <sharedItems containsSemiMixedTypes="0" containsString="0" containsNumber="1" containsInteger="1" minValue="1" maxValue="206"/>
    </cacheField>
    <cacheField name="title" numFmtId="0">
      <sharedItems count="205">
        <s v="Naruto"/>
        <s v="Naruto: Shippuden"/>
        <s v="Dragon Ball"/>
        <s v="Dragon Ball Z"/>
        <s v="Dragon Ball Super"/>
        <s v="One Piece"/>
        <s v="Bleach"/>
        <s v="Bleach: Thousand-Year Blood War"/>
        <s v="Attack on Titan Season 1"/>
        <s v="Attack on Titan Season 2"/>
        <s v="Attack on Titan Season 3"/>
        <s v="Attack on Titan: The Final Season"/>
        <s v="Attack on Titan: The Final Season Part 2"/>
        <s v="Vinland Saga Season 1"/>
        <s v="Vinland Saga Season 2"/>
        <s v="Demon Slayer: Kimetsu no Yaiba"/>
        <s v="Demon Slayer: Kimetsu no Yaiba - Entertainment District Arc"/>
        <s v="Demon Slayer: Kimetsu no Yaiba - Swordsmith Village Arc"/>
        <s v="Jujutsu Kaisen"/>
        <s v="Jujutsu Kaisen Season 2"/>
        <s v="Hunter x Hunter (2011)"/>
        <s v="My Hero Academia Season 1"/>
        <s v="My Hero Academia Season 2"/>
        <s v="My Hero Academia Season 3"/>
        <s v="My Hero Academia Season 4"/>
        <s v="My Hero Academia Season 5"/>
        <s v="My Hero Academia Season 6"/>
        <s v="Death Note"/>
        <s v="Fullmetal Alchemist: Brotherhood"/>
        <s v="Tokyo Revengers"/>
        <s v="Tokyo Revengers: Christmas Showdown"/>
        <s v="Chainsaw Man"/>
        <s v="Black Clover"/>
        <s v="Fairy Tail"/>
        <s v="Sword Art Online"/>
        <s v="Sword Art Online II"/>
        <s v="Sword Art Online: Alicization"/>
        <s v="Steins;Gate"/>
        <s v="Steins;Gate 0"/>
        <s v="Re:Zero - Starting Life in Another World Season 1"/>
        <s v="Re:Zero - Starting Life in Another World Season 2"/>
        <s v="The Rising of the Shield Hero Season 1"/>
        <s v="The Rising of the Shield Hero Season 2"/>
        <s v="The Rising of the Shield Hero Season 3"/>
        <s v="Mushoku Tensei: Jobless Reincarnation Season 1"/>
        <s v="Mushoku Tensei: Jobless Reincarnation Season 2"/>
        <s v="That Time I Got Reincarnated as a Slime Season 1"/>
        <s v="That Time I Got Reincarnated as a Slime Season 2"/>
        <s v="That Time I Got Reincarnated as a Slime Season 3"/>
        <s v="Overlord Season 1"/>
        <s v="Overlord Season 2"/>
        <s v="Overlord Season 3"/>
        <s v="Overlord Season 4"/>
        <s v="Code Geass: Lelouch of the Rebellion"/>
        <s v="Code Geass: Lelouch of the Rebellion R2"/>
        <s v="Cowboy Bebop"/>
        <s v="Neon Genesis Evangelion"/>
        <s v="Neon Genesis Evangelion: The End of Evangelion"/>
        <s v="Berserk"/>
        <s v="JoJo's Bizarre Adventure"/>
        <s v="JoJo's Bizarre Adventure: Stardust Crusaders"/>
        <s v="JoJo's Bizarre Adventure: Diamond Is Unbreakable"/>
        <s v="JoJo's Bizarre Adventure: Golden Wind"/>
        <s v="JoJo's Bizarre Adventure: Stone Ocean"/>
        <s v="Haikyuu!!"/>
        <s v="Haikyuu!! Second Season"/>
        <s v="Haikyuu!! Third Season"/>
        <s v="Haikyuu!! To the Top"/>
        <s v="Kuroko's Basketball"/>
        <s v="Kuroko's Basketball 2"/>
        <s v="Kuroko's Basketball 3"/>
        <s v="Blue Lock"/>
        <s v="Dr. Stone"/>
        <s v="Spy x Family"/>
        <s v="Mob Psycho 100"/>
        <s v="Mob Psycho 100 II"/>
        <s v="Mob Psycho 100 III"/>
        <s v="The Promised Neverland"/>
        <s v="The Promised Neverland Season 2"/>
        <s v="Fire Force"/>
        <s v="Fire Force Season 2"/>
        <s v="Soul Eater"/>
        <s v="Noragami"/>
        <s v="Noragami Aragoto"/>
        <s v="Parasyte: The Maxim"/>
        <s v="Psycho Pass"/>
        <s v="Psycho Pass 2"/>
        <s v="Psycho Pass 3"/>
        <s v="Erased"/>
        <s v="Made in Abyss"/>
        <s v="Made in Abyss: Dawn of the Deep Soul"/>
        <s v="Made in Abyss: The Golden City of the Scorching Sun"/>
        <s v="The Devil Is a Part-Timer!"/>
        <s v="The Devil Is a Part-Timer! Season 2"/>
        <s v="No Game No Life"/>
        <s v="No Game No Life: Zero"/>
        <s v="Konosuba: God's Blessing on This Wonderful World!"/>
        <s v="Konosuba: God's Blessing on This Wonderful World! 2"/>
        <s v="Konosuba: Legend of Crimson"/>
        <s v="Konosuba: An Explosion on This Wonderful World!"/>
        <s v="The Saga of Tanya the Evil"/>
        <s v="The Saga of Tanya the Evil: The Movie"/>
        <s v="Reincarnated as a Sword"/>
        <s v="The Eminence in Shadow"/>
        <s v="Log Horizon"/>
        <s v="Log Horizon 2"/>
        <s v="Log Horizon: Destruction of the Round Table"/>
        <s v="The Irregular at Magic High School"/>
        <s v="The Irregular at Magic High School: Visitor Arc"/>
        <s v="The Irregular at Magic High School: Reminiscence Arc"/>
        <s v="Classroom of the Elite"/>
        <s v="Classroom of the Elite II"/>
        <s v="Classroom of the Elite III"/>
        <s v="The Misfit of Demon King Academy"/>
        <s v="The Misfit of Demon King Academy II"/>
        <s v="Horimiya"/>
        <s v="Your Lie in April"/>
        <s v="Dragon Ball Daima"/>
        <s v="Solo Leveling"/>
        <s v="Demon Slayer: Kimetsu no Yaiba - Hashira Training Arc"/>
        <s v="Fullmetal Alchemist"/>
        <s v="Monster"/>
        <s v="Gintama"/>
        <s v="Hajime no Ippo"/>
        <s v="Dandadan"/>
        <s v="Frieren: Beyond Journey's End - Season 1"/>
        <s v="Trigun Stampede"/>
        <s v="One Punch Man - Season 1"/>
        <s v="One Punch Man - Season 2"/>
        <s v="Kaiju No. 8"/>
        <s v="Pokemon - Season 1: Indigo League"/>
        <s v="Tokyo Ghoul - Season 1"/>
        <s v="Tokyo Ghoul A - Season 2"/>
        <s v="Tokyo Ghoul:re - Season 3"/>
        <s v="The Seven Deadly Sins - Season 1"/>
        <s v="The Seven Deadly Sins: Revival of the Commandments - Season 2"/>
        <s v="Magi: The Labyrinth of Magic - Season 1"/>
        <s v="Magi: The Kingdom of Magic - Season 2"/>
        <s v="D.Gray-man - Season 1"/>
        <s v="D.Gray-man Hallow - Season 2"/>
        <s v="Akame ga Kill! - Season 1"/>
        <s v="Higurashi no Naku Koro ni - Season 1"/>
        <s v="Higurashi no Naku Koro ni Kai - Season 2"/>
        <s v="Paranoia Agent"/>
        <s v="Texhnolyze"/>
        <s v="Nana"/>
        <s v="Oshi no Ko - Season 1"/>
        <s v="Ranking of Kings - Season 1"/>
        <s v="Clannad: After Story - Season 2"/>
        <s v="Fruits Basket (2019) - Season 1"/>
        <s v="Fruits Basket: The Final - Season 3"/>
        <s v="Anohana: The Flower We Saw That Day"/>
        <s v="Violet Evergarden"/>
        <s v="Cyberpunk: Edgerunners"/>
        <s v="Devil May Cry"/>
        <s v="Arcane"/>
        <s v="Boruto: Naruto Next Generations"/>
        <s v="Black Butler"/>
        <s v="Kill Bill: The Origin of O-Ren"/>
        <s v="Perfect Blue"/>
        <s v="Samurai Champloo"/>
        <s v="Trigun"/>
        <s v="Akira"/>
        <s v="Spirited Away"/>
        <s v="Princess Mononoke"/>
        <s v="Ghost in the Shell"/>
        <s v="Ghost in the Shell: Stand Alone Complex"/>
        <s v="Tengen Toppa Gurren Lagann"/>
        <s v="Kill la Kill"/>
        <s v="FLCL"/>
        <s v="Baccano!"/>
        <s v="Durarara!!"/>
        <s v="Angel Beats!"/>
        <s v="Toradora!"/>
        <s v="Clannad"/>
        <s v="Hyouka"/>
        <s v="Nichijou"/>
        <s v="Lucky Star"/>
        <s v="The Melancholy of Haruhi Suzumiya"/>
        <s v="K-On!"/>
        <s v="A Silent Voice"/>
        <s v="Your Name."/>
        <s v="Weathering with You"/>
        <s v="5 Centimeters per Second"/>
        <s v="Grave of the Fireflies"/>
        <s v="Howl's Moving Castle"/>
        <s v="My Neighbor Totoro"/>
        <s v="Sword Art Online Alternative: Gun Gale Online"/>
        <s v="Fate/Zero"/>
        <s v="Fate/stay night: Unlimited Blade Works"/>
        <s v="Kaguya-sama: Love is War"/>
        <s v="Re:Creators"/>
        <s v="Akudama Drive"/>
        <s v="Vivy: Fluorite Eye's Song"/>
        <s v="Great Pretender"/>
        <s v="Megalobox"/>
        <s v="Carole &amp; Tuesday"/>
        <s v="Death Parade"/>
        <s v="Jujutsu Kaisen Season 3"/>
        <s v="Pokemon - Season 2: Adventures in the Orange Islands"/>
        <s v="Demon Slayer: Kimetsu no Yaiba The Movie: Infinity Castle"/>
        <s v="One Punch Man Season 3"/>
        <s v="My Hero Academia Season 7"/>
        <s v="Tokyo Ghoul âˆšA - Season 2" u="1"/>
        <s v="Demon Slayer: Kimetsu no Yaiba â€“ The Movie: Infinity Castle" u="1"/>
      </sharedItems>
    </cacheField>
    <cacheField name="anime_type" numFmtId="0">
      <sharedItems count="16">
        <s v="Shonen"/>
        <s v="Seinen"/>
        <s v="Light Novel"/>
        <s v="Original"/>
        <s v="Movie"/>
        <s v="Special"/>
        <s v="Webtoon"/>
        <s v="Fantasy"/>
        <s v="Action"/>
        <s v="Adventure"/>
        <s v="Horror"/>
        <s v="Psychological"/>
        <s v="Sci-Fi"/>
        <s v="Drama"/>
        <s v="Shounen"/>
        <s v="Visual Novel"/>
      </sharedItems>
    </cacheField>
    <cacheField name="episodes" numFmtId="0">
      <sharedItems containsSemiMixedTypes="0" containsString="0" containsNumber="1" containsInteger="1" minValue="1" maxValue="1136" count="43">
        <n v="220"/>
        <n v="500"/>
        <n v="153"/>
        <n v="291"/>
        <n v="131"/>
        <n v="1136"/>
        <n v="366"/>
        <n v="52"/>
        <n v="25"/>
        <n v="12"/>
        <n v="22"/>
        <n v="28"/>
        <n v="24"/>
        <n v="26"/>
        <n v="11"/>
        <n v="23"/>
        <n v="148"/>
        <n v="13"/>
        <n v="37"/>
        <n v="64"/>
        <n v="170"/>
        <n v="328"/>
        <n v="47"/>
        <n v="1"/>
        <n v="48"/>
        <n v="39"/>
        <n v="38"/>
        <n v="10"/>
        <n v="51"/>
        <n v="8"/>
        <n v="20"/>
        <n v="74"/>
        <n v="367"/>
        <n v="75"/>
        <n v="82"/>
        <n v="103"/>
        <n v="9"/>
        <n v="293"/>
        <n v="27"/>
        <n v="6"/>
        <n v="14"/>
        <n v="36"/>
        <n v="21"/>
      </sharedItems>
      <fieldGroup base="3">
        <rangePr autoEnd="0" startNum="1" endNum="300" groupInterval="12"/>
        <groupItems count="27">
          <s v="&lt;1"/>
          <s v="1-12"/>
          <s v="13-24"/>
          <s v="25-36"/>
          <s v="37-48"/>
          <s v="49-60"/>
          <s v="61-72"/>
          <s v="73-84"/>
          <s v="85-96"/>
          <s v="97-108"/>
          <s v="109-120"/>
          <s v="121-132"/>
          <s v="133-144"/>
          <s v="145-156"/>
          <s v="157-168"/>
          <s v="169-180"/>
          <s v="181-192"/>
          <s v="193-204"/>
          <s v="205-216"/>
          <s v="217-228"/>
          <s v="229-240"/>
          <s v="241-252"/>
          <s v="253-264"/>
          <s v="265-276"/>
          <s v="277-288"/>
          <s v="289-300"/>
          <s v="&gt;301"/>
        </groupItems>
      </fieldGroup>
    </cacheField>
    <cacheField name="status" numFmtId="0">
      <sharedItems count="2">
        <s v="Finished Airing"/>
        <s v="Currently Airing"/>
      </sharedItems>
    </cacheField>
    <cacheField name="aired_start" numFmtId="14">
      <sharedItems containsSemiMixedTypes="0" containsNonDate="0" containsDate="1" containsString="0" minDate="1986-02-26T00:00:00" maxDate="2026-01-09T00:00:00" count="193">
        <d v="2002-10-03T00:00:00"/>
        <d v="2007-02-15T00:00:00"/>
        <d v="1986-02-26T00:00:00"/>
        <d v="1989-04-26T00:00:00"/>
        <d v="2015-07-05T00:00:00"/>
        <d v="1999-10-20T00:00:00"/>
        <d v="2004-10-05T00:00:00"/>
        <d v="2022-10-10T00:00:00"/>
        <d v="2013-04-07T00:00:00"/>
        <d v="2017-04-01T00:00:00"/>
        <d v="2018-07-23T00:00:00"/>
        <d v="2020-12-07T00:00:00"/>
        <d v="2022-01-10T00:00:00"/>
        <d v="2019-07-07T00:00:00"/>
        <d v="2023-01-10T00:00:00"/>
        <d v="2019-04-06T00:00:00"/>
        <d v="2021-12-05T00:00:00"/>
        <d v="2023-04-09T00:00:00"/>
        <d v="2020-10-03T00:00:00"/>
        <d v="2023-07-06T00:00:00"/>
        <d v="2011-10-02T00:00:00"/>
        <d v="2016-04-03T00:00:00"/>
        <d v="2018-04-07T00:00:00"/>
        <d v="2019-10-12T00:00:00"/>
        <d v="2021-03-27T00:00:00"/>
        <d v="2022-10-01T00:00:00"/>
        <d v="2006-10-04T00:00:00"/>
        <d v="2009-04-05T00:00:00"/>
        <d v="2021-04-11T00:00:00"/>
        <d v="2023-01-08T00:00:00"/>
        <d v="2022-10-12T00:00:00"/>
        <d v="2017-10-03T00:00:00"/>
        <d v="2009-10-12T00:00:00"/>
        <d v="2012-07-08T00:00:00"/>
        <d v="2014-07-05T00:00:00"/>
        <d v="2018-10-07T00:00:00"/>
        <d v="2011-04-06T00:00:00"/>
        <d v="2018-04-12T00:00:00"/>
        <d v="2016-04-04T00:00:00"/>
        <d v="2020-07-08T00:00:00"/>
        <d v="2019-01-09T00:00:00"/>
        <d v="2022-04-06T00:00:00"/>
        <d v="2023-10-06T00:00:00"/>
        <d v="2021-01-11T00:00:00"/>
        <d v="2023-07-03T00:00:00"/>
        <d v="2018-10-02T00:00:00"/>
        <d v="2021-01-12T00:00:00"/>
        <d v="2024-04-05T00:00:00"/>
        <d v="2015-07-07T00:00:00"/>
        <d v="2018-01-10T00:00:00"/>
        <d v="2018-07-11T00:00:00"/>
        <d v="2022-07-05T00:00:00"/>
        <d v="2006-10-06T00:00:00"/>
        <d v="2008-04-06T00:00:00"/>
        <d v="1998-04-03T00:00:00"/>
        <d v="1995-10-04T00:00:00"/>
        <d v="1997-07-19T00:00:00"/>
        <d v="1997-10-08T00:00:00"/>
        <d v="2016-07-01T00:00:00"/>
        <d v="2017-04-07T00:00:00"/>
        <d v="2012-10-06T00:00:00"/>
        <d v="2014-04-05T00:00:00"/>
        <d v="2016-04-02T00:00:00"/>
        <d v="2018-10-06T00:00:00"/>
        <d v="2021-12-01T00:00:00"/>
        <d v="2014-04-06T00:00:00"/>
        <d v="2015-10-04T00:00:00"/>
        <d v="2016-10-08T00:00:00"/>
        <d v="2020-01-10T00:00:00"/>
        <d v="2012-04-08T00:00:00"/>
        <d v="2013-10-06T00:00:00"/>
        <d v="2015-01-11T00:00:00"/>
        <d v="2022-10-09T00:00:00"/>
        <d v="2019-07-05T00:00:00"/>
        <d v="2022-04-09T00:00:00"/>
        <d v="2016-07-12T00:00:00"/>
        <d v="2019-01-07T00:00:00"/>
        <d v="2022-10-06T00:00:00"/>
        <d v="2019-01-10T00:00:00"/>
        <d v="2021-01-08T00:00:00"/>
        <d v="2019-07-06T00:00:00"/>
        <d v="2020-07-04T00:00:00"/>
        <d v="2008-04-07T00:00:00"/>
        <d v="2014-01-05T00:00:00"/>
        <d v="2015-10-03T00:00:00"/>
        <d v="2014-10-09T00:00:00"/>
        <d v="2012-10-12T00:00:00"/>
        <d v="2014-10-10T00:00:00"/>
        <d v="2019-10-25T00:00:00"/>
        <d v="2016-01-08T00:00:00"/>
        <d v="2017-07-07T00:00:00"/>
        <d v="2020-01-17T00:00:00"/>
        <d v="2022-07-06T00:00:00"/>
        <d v="2013-04-04T00:00:00"/>
        <d v="2022-07-14T00:00:00"/>
        <d v="2014-04-09T00:00:00"/>
        <d v="2017-07-15T00:00:00"/>
        <d v="2016-01-14T00:00:00"/>
        <d v="2017-01-12T00:00:00"/>
        <d v="2019-08-30T00:00:00"/>
        <d v="2023-04-06T00:00:00"/>
        <d v="2017-01-06T00:00:00"/>
        <d v="2019-02-08T00:00:00"/>
        <d v="2022-10-05T00:00:00"/>
        <d v="2013-10-05T00:00:00"/>
        <d v="2014-10-04T00:00:00"/>
        <d v="2021-01-13T00:00:00"/>
        <d v="2020-10-04T00:00:00"/>
        <d v="2021-12-31T00:00:00"/>
        <d v="2017-07-12T00:00:00"/>
        <d v="2022-07-04T00:00:00"/>
        <d v="2024-01-03T00:00:00"/>
        <d v="2021-01-10T00:00:00"/>
        <d v="2024-10-11T00:00:00"/>
        <d v="2024-01-06T00:00:00"/>
        <d v="2024-05-12T00:00:00"/>
        <d v="2003-10-04T00:00:00"/>
        <d v="2004-04-07T00:00:00"/>
        <d v="2006-04-04T00:00:00"/>
        <d v="2000-10-04T00:00:00"/>
        <d v="2024-04-10T00:00:00"/>
        <d v="2023-09-29T00:00:00"/>
        <d v="2023-01-07T00:00:00"/>
        <d v="2015-10-05T00:00:00"/>
        <d v="2019-04-09T00:00:00"/>
        <d v="2024-04-13T00:00:00"/>
        <d v="1997-04-01T00:00:00"/>
        <d v="2014-07-04T00:00:00"/>
        <d v="2015-01-09T00:00:00"/>
        <d v="2018-04-03T00:00:00"/>
        <d v="2014-10-05T00:00:00"/>
        <d v="2018-01-13T00:00:00"/>
        <d v="2012-10-07T00:00:00"/>
        <d v="2006-10-03T00:00:00"/>
        <d v="2016-07-05T00:00:00"/>
        <d v="2014-07-07T00:00:00"/>
        <d v="2006-04-05T00:00:00"/>
        <d v="2007-07-06T00:00:00"/>
        <d v="2004-02-03T00:00:00"/>
        <d v="2003-04-17T00:00:00"/>
        <d v="2023-04-12T00:00:00"/>
        <d v="2021-10-15T00:00:00"/>
        <d v="2008-10-03T00:00:00"/>
        <d v="2021-04-06T00:00:00"/>
        <d v="2011-04-15T00:00:00"/>
        <d v="2018-01-11T00:00:00"/>
        <d v="2022-09-13T00:00:00"/>
        <d v="2007-06-14T00:00:00"/>
        <d v="2021-11-06T00:00:00"/>
        <d v="2017-04-05T00:00:00"/>
        <d v="2003-10-10T00:00:00"/>
        <d v="1997-07-10T00:00:00"/>
        <d v="2004-05-20T00:00:00"/>
        <d v="1998-04-02T00:00:00"/>
        <d v="1988-07-16T00:00:00"/>
        <d v="2001-07-20T00:00:00"/>
        <d v="1997-07-12T00:00:00"/>
        <d v="1995-11-18T00:00:00"/>
        <d v="2002-10-01T00:00:00"/>
        <d v="2007-04-01T00:00:00"/>
        <d v="2013-10-04T00:00:00"/>
        <d v="2000-04-26T00:00:00"/>
        <d v="2007-07-27T00:00:00"/>
        <d v="2010-01-08T00:00:00"/>
        <d v="2010-04-03T00:00:00"/>
        <d v="2008-10-02T00:00:00"/>
        <d v="2007-10-05T00:00:00"/>
        <d v="2012-04-23T00:00:00"/>
        <d v="2011-04-03T00:00:00"/>
        <d v="2007-04-08T00:00:00"/>
        <d v="2006-04-03T00:00:00"/>
        <d v="2009-04-03T00:00:00"/>
        <d v="2016-09-17T00:00:00"/>
        <d v="2016-08-26T00:00:00"/>
        <d v="2019-07-19T00:00:00"/>
        <d v="2007-03-03T00:00:00"/>
        <d v="1988-04-16T00:00:00"/>
        <d v="2004-11-20T00:00:00"/>
        <d v="2018-04-08T00:00:00"/>
        <d v="2011-10-01T00:00:00"/>
        <d v="2019-01-12T00:00:00"/>
        <d v="2017-04-08T00:00:00"/>
        <d v="2020-10-08T00:00:00"/>
        <d v="2021-04-03T00:00:00"/>
        <d v="2020-07-02T00:00:00"/>
        <d v="2018-04-06T00:00:00"/>
        <d v="2019-04-10T00:00:00"/>
        <d v="2015-01-10T00:00:00"/>
        <d v="2026-01-08T00:00:00"/>
        <d v="1998-01-28T00:00:00"/>
        <d v="2025-07-18T00:00:00"/>
        <d v="2025-10-12T00:00:00"/>
        <d v="2024-05-04T00:00:00"/>
      </sharedItems>
    </cacheField>
    <cacheField name="aired_end" numFmtId="0">
      <sharedItems containsDate="1" containsMixedTypes="1" minDate="1988-04-16T00:00:00" maxDate="2026-03-27T00:00:00"/>
    </cacheField>
    <cacheField name="year" numFmtId="0">
      <sharedItems containsSemiMixedTypes="0" containsString="0" containsNumber="1" containsInteger="1" minValue="1986" maxValue="2026" count="33">
        <n v="2002"/>
        <n v="2007"/>
        <n v="1986"/>
        <n v="1989"/>
        <n v="2015"/>
        <n v="1999"/>
        <n v="2004"/>
        <n v="2022"/>
        <n v="2013"/>
        <n v="2017"/>
        <n v="2018"/>
        <n v="2020"/>
        <n v="2019"/>
        <n v="2023"/>
        <n v="2021"/>
        <n v="2011"/>
        <n v="2016"/>
        <n v="2006"/>
        <n v="2009"/>
        <n v="2012"/>
        <n v="2014"/>
        <n v="2024"/>
        <n v="2008"/>
        <n v="1998"/>
        <n v="1995"/>
        <n v="1997"/>
        <n v="2003"/>
        <n v="2000"/>
        <n v="1988"/>
        <n v="2001"/>
        <n v="2010"/>
        <n v="2026"/>
        <n v="2025"/>
      </sharedItems>
      <fieldGroup base="7">
        <rangePr startNum="1986" endNum="2026" groupInterval="5"/>
        <groupItems count="10">
          <s v="&lt;1986"/>
          <s v="1986-1990"/>
          <s v="1991-1995"/>
          <s v="1996-2000"/>
          <s v="2001-2005"/>
          <s v="2006-2010"/>
          <s v="2011-2015"/>
          <s v="2016-2020"/>
          <s v="2021-2026"/>
          <s v="&gt;2026"/>
        </groupItems>
      </fieldGroup>
    </cacheField>
    <cacheField name="rating" numFmtId="0">
      <sharedItems containsString="0" containsBlank="1" containsNumber="1" minValue="4.5999999999999996" maxValue="9.3000000000000007"/>
    </cacheField>
    <cacheField name="popularity" numFmtId="0">
      <sharedItems containsSemiMixedTypes="0" containsString="0" containsNumber="1" containsInteger="1" minValue="321098" maxValue="15432101"/>
    </cacheField>
    <cacheField name="genres" numFmtId="0">
      <sharedItems/>
    </cacheField>
    <cacheField name="genres_count" numFmtId="0">
      <sharedItems containsSemiMixedTypes="0" containsString="0" containsNumber="1" containsInteger="1" minValue="2" maxValue="7"/>
    </cacheField>
    <cacheField name="netflix" numFmtId="0">
      <sharedItems containsBlank="1"/>
    </cacheField>
    <cacheField name="crunchyroll" numFmtId="0">
      <sharedItems containsBlank="1"/>
    </cacheField>
    <cacheField name="amazon_prime" numFmtId="0">
      <sharedItems containsBlank="1"/>
    </cacheField>
    <cacheField name="hulu" numFmtId="0">
      <sharedItems containsBlank="1"/>
    </cacheField>
    <cacheField name="funimation" numFmtId="0">
      <sharedItems containsBlank="1"/>
    </cacheField>
    <cacheField name="disney_plus" numFmtId="0">
      <sharedItems containsBlank="1"/>
    </cacheField>
    <cacheField name="hbo_max" numFmtId="0">
      <sharedItems containsBlank="1"/>
    </cacheField>
    <cacheField name="hidive" numFmtId="0">
      <sharedItems containsBlank="1"/>
    </cacheField>
    <cacheField name="pokemon_tv" numFmtId="0">
      <sharedItems containsBlank="1"/>
    </cacheField>
    <cacheField name="streaming_platforms_count" numFmtId="0">
      <sharedItems containsSemiMixedTypes="0" containsString="0" containsNumber="1" containsInteger="1" minValue="1" maxValue="4"/>
    </cacheField>
    <cacheField name="poster_url" numFmtId="0">
      <sharedItems/>
    </cacheField>
    <cacheField name="counts" numFmtId="0">
      <sharedItems containsString="0" containsBlank="1" containsNumber="1" containsInteger="1" minValue="1" maxValue="390"/>
    </cacheField>
    <cacheField name="Platform" numFmtId="0">
      <sharedItems containsBlank="1" count="10">
        <s v="Netflix"/>
        <s v="Crunchyroll"/>
        <s v="amazon_prime"/>
        <s v="hulu"/>
        <s v="funimation"/>
        <s v="disney_plus"/>
        <s v="hbo_max"/>
        <s v="hidive"/>
        <s v="pokemon_tv"/>
        <m/>
      </sharedItems>
    </cacheField>
    <cacheField name="percentage" numFmtId="0">
      <sharedItems containsString="0" containsBlank="1" containsNumber="1" minValue="2.5641025641025641E-3" maxValue="0.43333333333333335"/>
    </cacheField>
  </cacheFields>
  <extLst>
    <ext xmlns:x14="http://schemas.microsoft.com/office/spreadsheetml/2009/9/main" uri="{725AE2AE-9491-48be-B2B4-4EB974FC3084}">
      <x14:pivotCacheDefinition pivotCacheId="193816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n v="1"/>
    <x v="0"/>
    <x v="0"/>
    <x v="0"/>
    <x v="0"/>
    <x v="0"/>
    <d v="2007-02-08T00:00:00"/>
    <x v="0"/>
    <n v="7.9"/>
    <n v="1727877"/>
    <s v="Action|Adventure|Comedy|Super Power|Martial Arts"/>
    <n v="5"/>
    <s v="https://www.netflix.com/title/70205012"/>
    <s v="https://www.crunchyroll.com/series/GR79MM93Y/naruto"/>
    <m/>
    <s v="https://www.hulu.com/series/naruto-6ff9a8a2-0f95-4b2a-9f6b-2a5b5e5b5e5b"/>
    <m/>
    <m/>
    <m/>
    <m/>
    <m/>
    <n v="3"/>
    <s v="https://cdn.myanimelist.net/images/anime/1141/142503.jpg"/>
    <n v="64"/>
    <x v="0"/>
    <n v="0.1641025641025641"/>
  </r>
  <r>
    <n v="2"/>
    <x v="1"/>
    <x v="0"/>
    <x v="1"/>
    <x v="0"/>
    <x v="1"/>
    <d v="2017-03-23T00:00:00"/>
    <x v="1"/>
    <n v="8.1999999999999993"/>
    <n v="2456789"/>
    <s v="Action|Adventure|Comedy|Super Power|Martial Arts"/>
    <n v="5"/>
    <s v="https://www.netflix.com/title/70205012"/>
    <s v="https://www.crunchyroll.com/series/GR79MM93Y/naruto"/>
    <m/>
    <s v="https://www.hulu.com/series/naruto-shippuden-9a9a9a9a-9a9a-9a9a-9a9a-9a9a9a9a9a9a"/>
    <m/>
    <m/>
    <m/>
    <m/>
    <m/>
    <n v="3"/>
    <s v="https://cdn.myanimelist.net/images/anime/1565/111305.jpg"/>
    <n v="169"/>
    <x v="1"/>
    <n v="0.43333333333333335"/>
  </r>
  <r>
    <n v="3"/>
    <x v="2"/>
    <x v="0"/>
    <x v="2"/>
    <x v="0"/>
    <x v="2"/>
    <d v="1989-04-12T00:00:00"/>
    <x v="2"/>
    <n v="8.5"/>
    <n v="987654"/>
    <s v="Action|Adventure|Comedy|Fantasy|Martial Arts|Super Power"/>
    <n v="6"/>
    <m/>
    <s v="https://www.crunchyroll.com/series/GRMG8ZQZR/dragon-ball"/>
    <m/>
    <m/>
    <s v="https://www.funimation.com/shows/dragon-ball/"/>
    <m/>
    <m/>
    <m/>
    <m/>
    <n v="2"/>
    <s v="https://cdn.myanimelist.net/images/anime/1887/92364.jpg"/>
    <n v="1"/>
    <x v="2"/>
    <n v="2.5641025641025641E-3"/>
  </r>
  <r>
    <n v="4"/>
    <x v="3"/>
    <x v="0"/>
    <x v="3"/>
    <x v="0"/>
    <x v="3"/>
    <d v="1996-01-31T00:00:00"/>
    <x v="3"/>
    <n v="8.9"/>
    <n v="15432101"/>
    <s v="Action|Adventure|Comedy|Fantasy|Martial Arts|Super Power"/>
    <n v="6"/>
    <m/>
    <s v="https://www.crunchyroll.com/series/GRMG8ZQZR/dragon-ball"/>
    <m/>
    <m/>
    <s v="https://www.funimation.com/shows/dragon-ball-z/"/>
    <m/>
    <m/>
    <m/>
    <m/>
    <n v="2"/>
    <s v="https://cdn.myanimelist.net/images/anime/1277/142022.jpg"/>
    <n v="72"/>
    <x v="3"/>
    <n v="0.18461538461538463"/>
  </r>
  <r>
    <n v="5"/>
    <x v="4"/>
    <x v="0"/>
    <x v="4"/>
    <x v="0"/>
    <x v="4"/>
    <d v="2018-03-25T00:00:00"/>
    <x v="4"/>
    <n v="8.3000000000000007"/>
    <n v="1234567"/>
    <s v="Action|Adventure|Comedy|Fantasy|Martial Arts|Super Power"/>
    <n v="6"/>
    <m/>
    <s v="https://www.crunchyroll.com/series/GRMG8ZQZR/dragon-ball"/>
    <m/>
    <m/>
    <s v="https://www.funimation.com/shows/dragon-ball-super/"/>
    <m/>
    <m/>
    <m/>
    <m/>
    <n v="2"/>
    <s v="https://cdn.myanimelist.net/images/anime/7/74606.jpg"/>
    <n v="79"/>
    <x v="4"/>
    <n v="0.20256410256410257"/>
  </r>
  <r>
    <n v="6"/>
    <x v="5"/>
    <x v="0"/>
    <x v="5"/>
    <x v="1"/>
    <x v="5"/>
    <s v="Ongoing"/>
    <x v="5"/>
    <n v="8.6"/>
    <n v="3456789"/>
    <s v="Action|Adventure|Comedy|Drama|Fantasy"/>
    <n v="5"/>
    <s v="https://www.netflix.com/title/80217863"/>
    <s v="https://www.crunchyroll.com/series/GRMG8ZQZY/one-piece"/>
    <m/>
    <m/>
    <s v="https://www.funimation.com/shows/one-piece/"/>
    <m/>
    <m/>
    <m/>
    <m/>
    <n v="3"/>
    <s v="https://cdn.myanimelist.net/images/anime/1770/97704.jpg"/>
    <n v="1"/>
    <x v="5"/>
    <n v="2.5641025641025641E-3"/>
  </r>
  <r>
    <n v="7"/>
    <x v="6"/>
    <x v="0"/>
    <x v="6"/>
    <x v="0"/>
    <x v="6"/>
    <d v="2012-03-27T00:00:00"/>
    <x v="6"/>
    <n v="7.8"/>
    <n v="987654"/>
    <s v="Action|Adventure|Comedy|Super Power|Supernatural"/>
    <n v="5"/>
    <s v="https://www.netflix.com/title/70204970"/>
    <s v="https://www.crunchyroll.com/series/GR751KNZY/bleach"/>
    <m/>
    <s v="https://www.hulu.com/series/bleach-9a9a9a9a-9a9a-9a9a-9a9a-9a9a9a9a9a9a"/>
    <m/>
    <m/>
    <m/>
    <m/>
    <m/>
    <n v="3"/>
    <s v="https://cdn.myanimelist.net/images/anime/1541/147774.jpg"/>
    <n v="1"/>
    <x v="6"/>
    <n v="2.5641025641025641E-3"/>
  </r>
  <r>
    <n v="8"/>
    <x v="7"/>
    <x v="0"/>
    <x v="7"/>
    <x v="1"/>
    <x v="7"/>
    <s v="Ongoing"/>
    <x v="7"/>
    <n v="9.1"/>
    <n v="876543"/>
    <s v="Action|Adventure|Super Power|Supernatural"/>
    <n v="4"/>
    <m/>
    <m/>
    <m/>
    <s v="https://www.hulu.com/series/bleach-thousand-year-blood-war-9a9a9a9a-9a9a-9a9a-9a9a-9a9a9a9a9a9a"/>
    <m/>
    <s v="https://www.disneyplus.com/series/bleach-thousand-year-blood-war/9a9a9a9a9a9a"/>
    <m/>
    <m/>
    <m/>
    <n v="2"/>
    <s v="https://cdn.myanimelist.net/images/anime/1908/135431.jpg"/>
    <n v="1"/>
    <x v="7"/>
    <n v="2.5641025641025641E-3"/>
  </r>
  <r>
    <n v="9"/>
    <x v="8"/>
    <x v="1"/>
    <x v="8"/>
    <x v="0"/>
    <x v="8"/>
    <d v="2013-09-29T00:00:00"/>
    <x v="8"/>
    <n v="8.5"/>
    <n v="2345678"/>
    <s v="Action|Drama|Fantasy|Military|Mystery|Super Power"/>
    <n v="6"/>
    <m/>
    <s v="https://www.crunchyroll.com/series/GR751KNZY/attack-on-titan"/>
    <m/>
    <s v="https://www.hulu.com/series/attack-on-titan-9a9a9a9a-9a9a-9a9a-9a9a-9a9a9a9a9a9a"/>
    <s v="https://www.funimation.com/shows/attack-on-titan/"/>
    <m/>
    <m/>
    <m/>
    <m/>
    <n v="3"/>
    <s v="https://cdn.myanimelist.net/images/anime/1000/110531.jpg"/>
    <n v="2"/>
    <x v="8"/>
    <n v="5.1282051282051282E-3"/>
  </r>
  <r>
    <n v="10"/>
    <x v="9"/>
    <x v="1"/>
    <x v="9"/>
    <x v="0"/>
    <x v="9"/>
    <d v="2017-06-17T00:00:00"/>
    <x v="9"/>
    <n v="8.6999999999999993"/>
    <n v="2345678"/>
    <s v="Action|Drama|Fantasy|Military|Mystery|Super Power"/>
    <n v="6"/>
    <m/>
    <s v="https://www.crunchyroll.com/series/GR751KNZY/attack-on-titan"/>
    <m/>
    <s v="https://www.hulu.com/series/attack-on-titan-9a9a9a9a-9a9a-9a9a-9a9a-9a9a9a9a9a9a"/>
    <s v="https://www.funimation.com/shows/attack-on-titan/"/>
    <m/>
    <m/>
    <m/>
    <m/>
    <n v="3"/>
    <s v="https://cdn.myanimelist.net/images/anime/4/84177.jpg"/>
    <n v="390"/>
    <x v="9"/>
    <m/>
  </r>
  <r>
    <n v="11"/>
    <x v="10"/>
    <x v="1"/>
    <x v="10"/>
    <x v="0"/>
    <x v="10"/>
    <d v="2019-07-01T00:00:00"/>
    <x v="10"/>
    <n v="9"/>
    <n v="2345678"/>
    <s v="Action|Drama|Fantasy|Military|Mystery|Super Power"/>
    <n v="6"/>
    <m/>
    <s v="https://www.crunchyroll.com/series/GR751KNZY/attack-on-titan"/>
    <m/>
    <s v="https://www.hulu.com/series/attack-on-titan-9a9a9a9a-9a9a-9a9a-9a9a-9a9a9a9a9a9a"/>
    <s v="https://www.funimation.com/shows/attack-on-titan/"/>
    <m/>
    <m/>
    <m/>
    <m/>
    <n v="3"/>
    <s v="https://cdn.myanimelist.net/images/anime/1173/92110.jpg"/>
    <m/>
    <x v="9"/>
    <m/>
  </r>
  <r>
    <n v="12"/>
    <x v="11"/>
    <x v="1"/>
    <x v="11"/>
    <x v="0"/>
    <x v="11"/>
    <d v="2021-04-04T00:00:00"/>
    <x v="11"/>
    <n v="9.1999999999999993"/>
    <n v="2345678"/>
    <s v="Action|Drama|Fantasy|Military|Mystery|Super Power"/>
    <n v="6"/>
    <m/>
    <s v="https://www.crunchyroll.com/series/GR751KNZY/attack-on-titan"/>
    <m/>
    <s v="https://www.hulu.com/series/attack-on-titan-9a9a9a9a-9a9a-9a9a-9a9a-9a9a9a9a9a9a"/>
    <s v="https://www.funimation.com/shows/attack-on-titan/"/>
    <m/>
    <m/>
    <m/>
    <m/>
    <n v="3"/>
    <s v="https://cdn.myanimelist.net/images/anime/1279/131078.jpg"/>
    <m/>
    <x v="9"/>
    <m/>
  </r>
  <r>
    <n v="13"/>
    <x v="12"/>
    <x v="1"/>
    <x v="9"/>
    <x v="0"/>
    <x v="12"/>
    <d v="2022-04-04T00:00:00"/>
    <x v="7"/>
    <n v="9.3000000000000007"/>
    <n v="2345678"/>
    <s v="Action|Drama|Fantasy|Military|Mystery|Super Power"/>
    <n v="6"/>
    <m/>
    <s v="https://www.crunchyroll.com/series/GR751KNZY/attack-on-titan"/>
    <m/>
    <s v="https://www.hulu.com/series/attack-on-titan-9a9a9a9a-9a9a-9a9a-9a9a-9a9a9a9a9a9a"/>
    <s v="https://www.funimation.com/shows/attack-on-titan/"/>
    <m/>
    <m/>
    <m/>
    <m/>
    <n v="3"/>
    <s v="https://cdn.myanimelist.net/images/anime/1948/120625.jpg"/>
    <m/>
    <x v="9"/>
    <m/>
  </r>
  <r>
    <n v="14"/>
    <x v="13"/>
    <x v="1"/>
    <x v="12"/>
    <x v="0"/>
    <x v="13"/>
    <d v="2019-12-29T00:00:00"/>
    <x v="12"/>
    <n v="8.6999999999999993"/>
    <n v="345678"/>
    <s v="Action|Adventure|Drama|Historical"/>
    <n v="4"/>
    <s v="https://www.netflix.com/title/81249833"/>
    <m/>
    <s v="https://www.amazon.com/Vinland-Saga-Season-1/dp/B07VGRJDFY"/>
    <m/>
    <m/>
    <m/>
    <m/>
    <m/>
    <m/>
    <n v="2"/>
    <s v="https://cdn.myanimelist.net/images/anime/1170/124312.jpg"/>
    <m/>
    <x v="9"/>
    <m/>
  </r>
  <r>
    <n v="15"/>
    <x v="14"/>
    <x v="1"/>
    <x v="12"/>
    <x v="0"/>
    <x v="14"/>
    <d v="2023-06-20T00:00:00"/>
    <x v="13"/>
    <n v="9.1"/>
    <n v="456789"/>
    <s v="Action|Adventure|Drama|Historical"/>
    <n v="4"/>
    <s v="https://www.netflix.com/title/81249833"/>
    <m/>
    <s v="https://www.amazon.com/Vinland-Saga-Season-2/dp/B0BRNXF6XJ"/>
    <m/>
    <m/>
    <m/>
    <m/>
    <m/>
    <m/>
    <n v="2"/>
    <s v="https://cdn.myanimelist.net/images/anime/1170/124312.jpg"/>
    <m/>
    <x v="9"/>
    <m/>
  </r>
  <r>
    <n v="16"/>
    <x v="15"/>
    <x v="0"/>
    <x v="13"/>
    <x v="0"/>
    <x v="15"/>
    <d v="2019-09-28T00:00:00"/>
    <x v="12"/>
    <n v="8.5"/>
    <n v="2345678"/>
    <s v="Action|Adventure|Demons|Historical|Supernatural"/>
    <n v="5"/>
    <s v="https://www.netflix.com/title/81091393"/>
    <s v="https://www.crunchyroll.com/series/GY5P48XEY/demon-slayer-kimetsu-no-yaiba"/>
    <m/>
    <s v="https://www.hulu.com/series/demon-slayer-kimetsu-no-yaiba-9a9a9a9a-9a9a-9a9a-9a9a-9a9a9a9a9a9a"/>
    <s v="https://www.funimation.com/shows/demon-slayer-kimetsu-no-yaiba/"/>
    <m/>
    <m/>
    <m/>
    <m/>
    <n v="4"/>
    <s v="https://cdn.myanimelist.net/images/anime/1286/99889.jpg"/>
    <m/>
    <x v="9"/>
    <m/>
  </r>
  <r>
    <n v="17"/>
    <x v="16"/>
    <x v="0"/>
    <x v="14"/>
    <x v="0"/>
    <x v="16"/>
    <d v="2022-02-13T00:00:00"/>
    <x v="14"/>
    <n v="9"/>
    <n v="2345678"/>
    <s v="Action|Adventure|Demons|Historical|Supernatural"/>
    <n v="5"/>
    <m/>
    <s v="https://www.crunchyroll.com/series/GY5P48XEY/demon-slayer-kimetsu-no-yaiba"/>
    <m/>
    <s v="https://www.hulu.com/series/demon-slayer-kimetsu-no-yaiba-9a9a9a9a-9a9a-9a9a-9a9a-9a9a9a9a9a9a"/>
    <s v="https://www.funimation.com/shows/demon-slayer-kimetsu-no-yaiba/"/>
    <m/>
    <m/>
    <m/>
    <m/>
    <n v="3"/>
    <s v="https://cdn.myanimelist.net/images/anime/1908/120036.jpg"/>
    <m/>
    <x v="9"/>
    <m/>
  </r>
  <r>
    <n v="18"/>
    <x v="17"/>
    <x v="0"/>
    <x v="14"/>
    <x v="0"/>
    <x v="17"/>
    <d v="2023-06-18T00:00:00"/>
    <x v="13"/>
    <n v="8.8000000000000007"/>
    <n v="2345678"/>
    <s v="Action|Adventure|Demons|Historical|Supernatural"/>
    <n v="5"/>
    <m/>
    <s v="https://www.crunchyroll.com/series/GY5P48XEY/demon-slayer-kimetsu-no-yaiba"/>
    <m/>
    <s v="https://www.hulu.com/series/demon-slayer-kimetsu-no-yaiba-9a9a9a9a-9a9a-9a9a-9a9a-9a9a9a9a9a9a"/>
    <s v="https://www.funimation.com/shows/demon-slayer-kimetsu-no-yaiba/"/>
    <m/>
    <m/>
    <m/>
    <m/>
    <n v="3"/>
    <s v="https://cdn.myanimelist.net/images/anime/1765/135099.jpg"/>
    <m/>
    <x v="9"/>
    <m/>
  </r>
  <r>
    <n v="19"/>
    <x v="18"/>
    <x v="0"/>
    <x v="12"/>
    <x v="0"/>
    <x v="18"/>
    <d v="2021-03-27T00:00:00"/>
    <x v="11"/>
    <n v="8.6"/>
    <n v="2345678"/>
    <s v="Action|Demons|Horror|Supernatural|School"/>
    <n v="5"/>
    <s v="https://www.netflix.com/title/81278456"/>
    <s v="https://www.crunchyroll.com/series/GRDV0019R/jujutsu-kaisen"/>
    <m/>
    <s v="https://www.hulu.com/series/jujutsu-kaisen-9a9a9a9a-9a9a-9a9a-9a9a-9a9a9a9a9a9a"/>
    <m/>
    <m/>
    <m/>
    <m/>
    <m/>
    <n v="3"/>
    <s v="https://cdn.myanimelist.net/images/anime/1171/109222.jpg"/>
    <m/>
    <x v="9"/>
    <m/>
  </r>
  <r>
    <n v="20"/>
    <x v="19"/>
    <x v="0"/>
    <x v="15"/>
    <x v="0"/>
    <x v="19"/>
    <d v="2023-12-28T00:00:00"/>
    <x v="13"/>
    <n v="9"/>
    <n v="2345678"/>
    <s v="Action|Demons|Horror|Supernatural|School"/>
    <n v="5"/>
    <m/>
    <s v="https://www.crunchyroll.com/series/GRDV0019R/jujutsu-kaisen"/>
    <m/>
    <s v="https://www.hulu.com/series/jujutsu-kaisen-9a9a9a9a-9a9a-9a9a-9a9a-9a9a9a9a9a9a"/>
    <m/>
    <m/>
    <m/>
    <m/>
    <m/>
    <n v="2"/>
    <s v="https://cdn.myanimelist.net/images/anime/1792/138022.jpg"/>
    <m/>
    <x v="9"/>
    <m/>
  </r>
  <r>
    <n v="21"/>
    <x v="20"/>
    <x v="0"/>
    <x v="16"/>
    <x v="0"/>
    <x v="20"/>
    <d v="2014-09-24T00:00:00"/>
    <x v="15"/>
    <n v="9.1"/>
    <n v="1234567"/>
    <s v="Action|Adventure|Fantasy"/>
    <n v="3"/>
    <s v="https://www.netflix.com/title/70204970"/>
    <s v="https://www.crunchyroll.com/series/GR751KNZY/hunter-x-hunter"/>
    <m/>
    <s v="https://www.hulu.com/series/hunter-x-hunter-9a9a9a9a-9a9a-9a9a-9a9a-9a9a9a9a9a9a"/>
    <m/>
    <m/>
    <m/>
    <m/>
    <m/>
    <n v="3"/>
    <s v="https://cdn.myanimelist.net/images/anime/1337/99013.jpg"/>
    <m/>
    <x v="9"/>
    <m/>
  </r>
  <r>
    <n v="22"/>
    <x v="21"/>
    <x v="0"/>
    <x v="17"/>
    <x v="0"/>
    <x v="21"/>
    <d v="2016-06-26T00:00:00"/>
    <x v="16"/>
    <n v="7.9"/>
    <n v="1234567"/>
    <s v="Action|Comedy|School|Super Power"/>
    <n v="4"/>
    <m/>
    <s v="https://www.crunchyroll.com/series/G6NQ5DWZ6/my-hero-academia"/>
    <m/>
    <s v="https://www.hulu.com/series/my-hero-academia-9a9a9a9a-9a9a-9a9a-9a9a-9a9a9a9a9a9a"/>
    <s v="https://www.funimation.com/shows/my-hero-academia/"/>
    <m/>
    <m/>
    <m/>
    <m/>
    <n v="3"/>
    <s v="https://cdn.myanimelist.net/images/anime/12/85221.jpg"/>
    <m/>
    <x v="9"/>
    <m/>
  </r>
  <r>
    <n v="23"/>
    <x v="22"/>
    <x v="0"/>
    <x v="8"/>
    <x v="0"/>
    <x v="9"/>
    <d v="2017-09-30T00:00:00"/>
    <x v="9"/>
    <n v="8.1999999999999993"/>
    <n v="1234567"/>
    <s v="Action|Comedy|School|Super Power"/>
    <n v="4"/>
    <m/>
    <s v="https://www.crunchyroll.com/series/G6NQ5DWZ6/my-hero-academia"/>
    <m/>
    <s v="https://www.hulu.com/series/my-hero-academia-9a9a9a9a-9a9a-9a9a-9a9a-9a9a9a9a9a9a"/>
    <s v="https://www.funimation.com/shows/my-hero-academia/"/>
    <m/>
    <m/>
    <m/>
    <m/>
    <n v="3"/>
    <s v="https://cdn.myanimelist.net/images/anime/12/85221.jpg"/>
    <m/>
    <x v="9"/>
    <m/>
  </r>
  <r>
    <n v="24"/>
    <x v="23"/>
    <x v="0"/>
    <x v="8"/>
    <x v="0"/>
    <x v="22"/>
    <d v="2018-09-29T00:00:00"/>
    <x v="10"/>
    <n v="8.3000000000000007"/>
    <n v="1234567"/>
    <s v="Action|Comedy|School|Super Power"/>
    <n v="4"/>
    <m/>
    <s v="https://www.crunchyroll.com/series/G6NQ5DWZ6/my-hero-academia"/>
    <m/>
    <s v="https://www.hulu.com/series/my-hero-academia-9a9a9a9a-9a9a-9a9a-9a9a-9a9a9a9a9a9a"/>
    <s v="https://www.funimation.com/shows/my-hero-academia/"/>
    <m/>
    <m/>
    <m/>
    <m/>
    <n v="3"/>
    <s v="https://cdn.myanimelist.net/images/anime/1319/92084.jpg"/>
    <m/>
    <x v="9"/>
    <m/>
  </r>
  <r>
    <n v="25"/>
    <x v="24"/>
    <x v="0"/>
    <x v="8"/>
    <x v="0"/>
    <x v="23"/>
    <d v="2020-04-04T00:00:00"/>
    <x v="12"/>
    <n v="8.3000000000000007"/>
    <n v="1234567"/>
    <s v="Action|Comedy|School|Super Power"/>
    <n v="4"/>
    <m/>
    <s v="https://www.crunchyroll.com/series/G6NQ5DWZ6/my-hero-academia"/>
    <m/>
    <s v="https://www.hulu.com/series/my-hero-academia-9a9a9a9a-9a9a-9a9a-9a9a-9a9a9a9a9a9a"/>
    <s v="https://www.funimation.com/shows/my-hero-academia/"/>
    <m/>
    <m/>
    <m/>
    <m/>
    <n v="3"/>
    <s v="https://cdn.myanimelist.net/images/anime/1412/107914.jpg"/>
    <m/>
    <x v="9"/>
    <m/>
  </r>
  <r>
    <n v="26"/>
    <x v="25"/>
    <x v="0"/>
    <x v="8"/>
    <x v="0"/>
    <x v="24"/>
    <d v="2021-09-25T00:00:00"/>
    <x v="14"/>
    <n v="7.9"/>
    <n v="1234567"/>
    <s v="Action|Comedy|School|Super Power"/>
    <n v="4"/>
    <m/>
    <s v="https://www.crunchyroll.com/series/G6NQ5DWZ6/my-hero-academia"/>
    <m/>
    <s v="https://www.hulu.com/series/my-hero-academia-9a9a9a9a-9a9a-9a9a-9a9a-9a9a9a9a9a9a"/>
    <s v="https://www.funimation.com/shows/my-hero-academia/"/>
    <m/>
    <m/>
    <m/>
    <m/>
    <n v="3"/>
    <s v="https://cdn.myanimelist.net/images/anime/1911/113611.jpg"/>
    <m/>
    <x v="9"/>
    <m/>
  </r>
  <r>
    <n v="27"/>
    <x v="26"/>
    <x v="0"/>
    <x v="8"/>
    <x v="0"/>
    <x v="25"/>
    <d v="2023-03-25T00:00:00"/>
    <x v="7"/>
    <n v="8.5"/>
    <n v="1234567"/>
    <s v="Action|Comedy|School|Super Power"/>
    <n v="4"/>
    <m/>
    <s v="https://www.crunchyroll.com/series/G6NQ5DWZ6/my-hero-academia"/>
    <m/>
    <s v="https://www.hulu.com/series/my-hero-academia-9a9a9a9a-9a9a-9a9a-9a9a-9a9a9a9a9a9a"/>
    <s v="https://www.funimation.com/shows/my-hero-academia/"/>
    <m/>
    <m/>
    <m/>
    <m/>
    <n v="3"/>
    <s v="https://cdn.myanimelist.net/images/anime/1483/126005.jpg"/>
    <m/>
    <x v="9"/>
    <m/>
  </r>
  <r>
    <n v="28"/>
    <x v="27"/>
    <x v="0"/>
    <x v="18"/>
    <x v="0"/>
    <x v="26"/>
    <d v="2007-06-27T00:00:00"/>
    <x v="17"/>
    <n v="8.6"/>
    <n v="2345678"/>
    <s v="Mystery|Psychological|Supernatural|Thriller"/>
    <n v="4"/>
    <s v="https://www.netflix.com/title/70204970"/>
    <s v="https://www.crunchyroll.com/series/GR751KNZY/death-note"/>
    <m/>
    <s v="https://www.hulu.com/series/death-note-9a9a9a9a-9a9a-9a9a-9a9a-9a9a9a9a9a9a"/>
    <m/>
    <m/>
    <m/>
    <m/>
    <m/>
    <n v="3"/>
    <s v="https://cdn.myanimelist.net/images/anime/1079/138100.jpg"/>
    <m/>
    <x v="9"/>
    <m/>
  </r>
  <r>
    <n v="29"/>
    <x v="28"/>
    <x v="0"/>
    <x v="19"/>
    <x v="0"/>
    <x v="27"/>
    <d v="2010-07-04T00:00:00"/>
    <x v="18"/>
    <n v="9.1"/>
    <n v="2345678"/>
    <s v="Action|Adventure|Drama|Fantasy|Magic|Military"/>
    <n v="6"/>
    <s v="https://www.netflix.com/title/70204981"/>
    <s v="https://www.crunchyroll.com/series/GRGGPG93R/fullmetal-alchemist-brotherhood"/>
    <m/>
    <s v="https://www.hulu.com/series/fullmetal-alchemist-brotherhood-9a9a9a9a-9a9a-9a9a-9a9a-9a9a9a9a9a9a"/>
    <s v="https://www.funimation.com/shows/fullmetal-alchemist-brotherhood/"/>
    <m/>
    <m/>
    <m/>
    <m/>
    <n v="4"/>
    <s v="https://cdn.myanimelist.net/images/anime/1208/94745.jpg"/>
    <m/>
    <x v="9"/>
    <m/>
  </r>
  <r>
    <n v="30"/>
    <x v="29"/>
    <x v="0"/>
    <x v="12"/>
    <x v="0"/>
    <x v="28"/>
    <d v="2021-09-19T00:00:00"/>
    <x v="14"/>
    <n v="7.9"/>
    <n v="876543"/>
    <s v="Action|Drama|Supernatural"/>
    <n v="3"/>
    <m/>
    <s v="https://www.crunchyroll.com/series/GRDV0019R/tokyo-revengers"/>
    <m/>
    <s v="https://www.hulu.com/series/tokyo-revengers-9a9a9a9a-9a9a-9a9a-9a9a-9a9a9a9a9a9a"/>
    <m/>
    <m/>
    <m/>
    <m/>
    <m/>
    <n v="2"/>
    <s v="https://cdn.myanimelist.net/images/anime/1839/122012.jpg"/>
    <m/>
    <x v="9"/>
    <m/>
  </r>
  <r>
    <n v="31"/>
    <x v="30"/>
    <x v="0"/>
    <x v="17"/>
    <x v="0"/>
    <x v="29"/>
    <d v="2023-04-02T00:00:00"/>
    <x v="13"/>
    <n v="8.1999999999999993"/>
    <n v="876543"/>
    <s v="Action|Drama|Supernatural"/>
    <n v="3"/>
    <m/>
    <s v="https://www.crunchyroll.com/series/GRDV0019R/tokyo-revengers"/>
    <m/>
    <s v="https://www.hulu.com/series/tokyo-revengers-9a9a9a9a-9a9a-9a9a-9a9a-9a9a9a9a9a9a"/>
    <m/>
    <m/>
    <m/>
    <m/>
    <m/>
    <n v="2"/>
    <s v="https://cdn.myanimelist.net/images/anime/1773/132313.jpg"/>
    <m/>
    <x v="9"/>
    <m/>
  </r>
  <r>
    <n v="32"/>
    <x v="31"/>
    <x v="0"/>
    <x v="9"/>
    <x v="0"/>
    <x v="30"/>
    <d v="2022-12-28T00:00:00"/>
    <x v="7"/>
    <n v="8.5"/>
    <n v="2345678"/>
    <s v="Action|Horror|Supernatural"/>
    <n v="3"/>
    <m/>
    <s v="https://www.crunchyroll.com/series/GRDV0019R/chainsaw-man"/>
    <m/>
    <s v="https://www.hulu.com/series/chainsaw-man-9a9a9a9a-9a9a-9a9a-9a9a-9a9a9a9a9a9a"/>
    <m/>
    <m/>
    <m/>
    <m/>
    <m/>
    <n v="2"/>
    <s v="https://cdn.myanimelist.net/images/anime/1806/126216.jpg"/>
    <m/>
    <x v="9"/>
    <m/>
  </r>
  <r>
    <n v="33"/>
    <x v="32"/>
    <x v="0"/>
    <x v="20"/>
    <x v="0"/>
    <x v="31"/>
    <d v="2021-03-30T00:00:00"/>
    <x v="9"/>
    <n v="7.8"/>
    <n v="987654"/>
    <s v="Action|Comedy|Fantasy|Magic"/>
    <n v="4"/>
    <m/>
    <s v="https://www.crunchyroll.com/series/GR751KNZY/black-clover"/>
    <m/>
    <s v="https://www.hulu.com/series/black-clover-9a9a9a9a-9a9a-9a9a-9a9a-9a9a9a9a9a9a"/>
    <s v="https://www.funimation.com/shows/black-clover/"/>
    <m/>
    <m/>
    <m/>
    <m/>
    <n v="3"/>
    <s v="https://cdn.myanimelist.net/images/anime/2/88336.jpg"/>
    <m/>
    <x v="9"/>
    <m/>
  </r>
  <r>
    <n v="34"/>
    <x v="33"/>
    <x v="0"/>
    <x v="21"/>
    <x v="0"/>
    <x v="32"/>
    <d v="2019-03-29T00:00:00"/>
    <x v="18"/>
    <n v="7.5"/>
    <n v="876543"/>
    <s v="Action|Adventure|Comedy|Fantasy|Magic"/>
    <n v="5"/>
    <m/>
    <s v="https://www.crunchyroll.com/series/GR751KNZY/fairy-tail"/>
    <m/>
    <s v="https://www.hulu.com/series/fairy-tail-9a9a9a9a-9a9a-9a9a-9a9a-9a9a9a9a9a9a"/>
    <s v="https://www.funimation.com/shows/fairy-tail/"/>
    <m/>
    <m/>
    <m/>
    <m/>
    <n v="3"/>
    <s v="https://cdn.myanimelist.net/images/anime/5/18179.jpg"/>
    <m/>
    <x v="9"/>
    <m/>
  </r>
  <r>
    <n v="35"/>
    <x v="34"/>
    <x v="0"/>
    <x v="8"/>
    <x v="0"/>
    <x v="33"/>
    <d v="2012-12-23T00:00:00"/>
    <x v="19"/>
    <n v="7.2"/>
    <n v="1234567"/>
    <s v="Action|Adventure|Fantasy|Game|Romance"/>
    <n v="5"/>
    <s v="https://www.netflix.com/title/80050063"/>
    <s v="https://www.crunchyroll.com/series/GR751KNZY/sword-art-online"/>
    <m/>
    <s v="https://www.hulu.com/series/sword-art-online-9a9a9a9a-9a9a-9a9a-9a9a-9a9a9a9a9a9a"/>
    <m/>
    <m/>
    <m/>
    <m/>
    <m/>
    <n v="3"/>
    <s v="https://cdn.myanimelist.net/images/anime/11/39717.jpg"/>
    <m/>
    <x v="9"/>
    <m/>
  </r>
  <r>
    <n v="36"/>
    <x v="35"/>
    <x v="0"/>
    <x v="12"/>
    <x v="0"/>
    <x v="34"/>
    <d v="2014-12-20T00:00:00"/>
    <x v="20"/>
    <n v="7.4"/>
    <n v="1234567"/>
    <s v="Action|Adventure|Fantasy|Game|Romance"/>
    <n v="5"/>
    <s v="https://www.netflix.com/title/80050063"/>
    <s v="https://www.crunchyroll.com/series/GR751KNZY/sword-art-online"/>
    <m/>
    <s v="https://www.hulu.com/series/sword-art-online-9a9a9a9a-9a9a-9a9a-9a9a-9a9a9a9a9a9a"/>
    <m/>
    <m/>
    <m/>
    <m/>
    <m/>
    <n v="3"/>
    <s v="https://cdn.myanimelist.net/images/anime/1223/121999.jpg"/>
    <m/>
    <x v="9"/>
    <m/>
  </r>
  <r>
    <n v="37"/>
    <x v="36"/>
    <x v="0"/>
    <x v="22"/>
    <x v="0"/>
    <x v="35"/>
    <d v="2020-09-20T00:00:00"/>
    <x v="10"/>
    <n v="7.6"/>
    <n v="1234567"/>
    <s v="Action|Adventure|Fantasy|Game|Romance"/>
    <n v="5"/>
    <m/>
    <s v="https://www.crunchyroll.com/series/GR751KNZY/sword-art-online"/>
    <m/>
    <s v="https://www.hulu.com/series/sword-art-online-9a9a9a9a-9a9a-9a9a-9a9a-9a9a9a9a9a9a"/>
    <m/>
    <m/>
    <m/>
    <m/>
    <m/>
    <n v="2"/>
    <s v="https://cdn.myanimelist.net/images/anime/1993/93837.jpg"/>
    <m/>
    <x v="9"/>
    <m/>
  </r>
  <r>
    <n v="38"/>
    <x v="37"/>
    <x v="1"/>
    <x v="12"/>
    <x v="0"/>
    <x v="36"/>
    <d v="2011-09-14T00:00:00"/>
    <x v="15"/>
    <n v="9.1"/>
    <n v="987654"/>
    <s v="Sci-Fi|Psychological|Thriller"/>
    <n v="3"/>
    <m/>
    <s v="https://www.crunchyroll.com/series/GR751KNZY/steinsgate"/>
    <m/>
    <s v="https://www.hulu.com/series/steinsgate-9a9a9a9a-9a9a-9a9a-9a9a-9a9a9a9a9a9a"/>
    <s v="https://www.funimation.com/shows/steinsgate/"/>
    <m/>
    <m/>
    <m/>
    <m/>
    <n v="3"/>
    <s v="https://cdn.myanimelist.net/images/anime/1935/127974.jpg"/>
    <m/>
    <x v="9"/>
    <m/>
  </r>
  <r>
    <n v="39"/>
    <x v="38"/>
    <x v="1"/>
    <x v="15"/>
    <x v="0"/>
    <x v="37"/>
    <d v="2018-09-27T00:00:00"/>
    <x v="10"/>
    <n v="8.6"/>
    <n v="876543"/>
    <s v="Sci-Fi|Psychological|Thriller"/>
    <n v="3"/>
    <m/>
    <s v="https://www.crunchyroll.com/series/GR751KNZY/steinsgate"/>
    <m/>
    <s v="https://www.hulu.com/series/steinsgate-9a9a9a9a-9a9a-9a9a-9a9a-9a9a9a9a9a9a"/>
    <s v="https://www.funimation.com/shows/steinsgate/"/>
    <m/>
    <m/>
    <m/>
    <m/>
    <n v="3"/>
    <s v="https://cdn.myanimelist.net/images/anime/1375/93521.jpg"/>
    <m/>
    <x v="9"/>
    <m/>
  </r>
  <r>
    <n v="40"/>
    <x v="39"/>
    <x v="2"/>
    <x v="8"/>
    <x v="0"/>
    <x v="38"/>
    <d v="2016-09-19T00:00:00"/>
    <x v="16"/>
    <n v="8.1999999999999993"/>
    <n v="1234567"/>
    <s v="Drama|Fantasy|Psychological|Thriller"/>
    <n v="4"/>
    <m/>
    <s v="https://www.crunchyroll.com/series/GRDV0019R/rezero-starting-life-in-another-world"/>
    <m/>
    <s v="https://www.hulu.com/series/rezero-starting-life-in-another-world-9a9a9a9a-9a9a-9a9a-9a9a-9a9a9a9a9a9a"/>
    <m/>
    <m/>
    <m/>
    <m/>
    <m/>
    <n v="2"/>
    <s v="https://cdn.myanimelist.net/images/anime/1706/144725.jpg"/>
    <m/>
    <x v="9"/>
    <m/>
  </r>
  <r>
    <n v="41"/>
    <x v="40"/>
    <x v="2"/>
    <x v="8"/>
    <x v="0"/>
    <x v="39"/>
    <d v="2021-03-24T00:00:00"/>
    <x v="11"/>
    <n v="8.6"/>
    <n v="1234567"/>
    <s v="Drama|Fantasy|Psychological|Thriller"/>
    <n v="4"/>
    <m/>
    <s v="https://www.crunchyroll.com/series/GRDV0019R/rezero-starting-life-in-another-world"/>
    <m/>
    <s v="https://www.hulu.com/series/rezero-starting-life-in-another-world-9a9a9a9a-9a9a-9a9a-9a9a-9a9a9a9a9a9a"/>
    <m/>
    <m/>
    <m/>
    <m/>
    <m/>
    <n v="2"/>
    <s v="https://cdn.myanimelist.net/images/anime/1444/108005.jpg"/>
    <m/>
    <x v="9"/>
    <m/>
  </r>
  <r>
    <n v="42"/>
    <x v="41"/>
    <x v="2"/>
    <x v="8"/>
    <x v="0"/>
    <x v="40"/>
    <d v="2019-06-26T00:00:00"/>
    <x v="12"/>
    <n v="7.9"/>
    <n v="987654"/>
    <s v="Action|Adventure|Drama|Fantasy"/>
    <n v="4"/>
    <m/>
    <s v="https://www.crunchyroll.com/series/GRDV0019R/the-rising-of-the-shield-hero"/>
    <m/>
    <m/>
    <s v="https://www.funimation.com/shows/the-rising-of-the-shield-hero/"/>
    <m/>
    <m/>
    <m/>
    <m/>
    <n v="2"/>
    <s v="https://cdn.myanimelist.net/images/anime/1317/139802.jpg"/>
    <m/>
    <x v="9"/>
    <m/>
  </r>
  <r>
    <n v="43"/>
    <x v="42"/>
    <x v="2"/>
    <x v="17"/>
    <x v="0"/>
    <x v="41"/>
    <d v="2022-06-29T00:00:00"/>
    <x v="7"/>
    <n v="7.1"/>
    <n v="876543"/>
    <s v="Action|Adventure|Drama|Fantasy"/>
    <n v="4"/>
    <m/>
    <s v="https://www.crunchyroll.com/series/GRDV0019R/the-rising-of-the-shield-hero"/>
    <m/>
    <m/>
    <s v="https://www.funimation.com/shows/the-rising-of-the-shield-hero/"/>
    <m/>
    <m/>
    <m/>
    <m/>
    <n v="2"/>
    <s v="https://cdn.myanimelist.net/images/anime/1143/121873.jpg"/>
    <m/>
    <x v="9"/>
    <m/>
  </r>
  <r>
    <n v="44"/>
    <x v="43"/>
    <x v="2"/>
    <x v="9"/>
    <x v="0"/>
    <x v="42"/>
    <d v="2023-12-22T00:00:00"/>
    <x v="13"/>
    <n v="7.5"/>
    <n v="765432"/>
    <s v="Action|Adventure|Drama|Fantasy"/>
    <n v="4"/>
    <m/>
    <s v="https://www.crunchyroll.com/series/GRDV0019R/the-rising-of-the-shield-hero"/>
    <m/>
    <m/>
    <s v="https://www.funimation.com/shows/the-rising-of-the-shield-hero/"/>
    <m/>
    <m/>
    <m/>
    <m/>
    <n v="2"/>
    <s v="https://cdn.myanimelist.net/images/anime/1317/139802.jpg"/>
    <m/>
    <x v="9"/>
    <m/>
  </r>
  <r>
    <n v="45"/>
    <x v="44"/>
    <x v="2"/>
    <x v="15"/>
    <x v="0"/>
    <x v="43"/>
    <d v="2021-12-20T00:00:00"/>
    <x v="14"/>
    <n v="8.4"/>
    <n v="987654"/>
    <s v="Adventure|Drama|Fantasy|Ecchi"/>
    <n v="4"/>
    <m/>
    <m/>
    <m/>
    <s v="https://www.hulu.com/series/mushoku-tensei-jobless-reincarnation-9a9a9a9a-9a9a-9a9a-9a9a-9a9a9a9a9a9a"/>
    <s v="https://www.funimation.com/shows/mushoku-tensei-jobless-reincarnation/"/>
    <m/>
    <m/>
    <m/>
    <m/>
    <n v="2"/>
    <s v="https://cdn.myanimelist.net/images/anime/1898/138005.jpg"/>
    <m/>
    <x v="9"/>
    <m/>
  </r>
  <r>
    <n v="46"/>
    <x v="45"/>
    <x v="2"/>
    <x v="8"/>
    <x v="0"/>
    <x v="44"/>
    <d v="2023-12-18T00:00:00"/>
    <x v="13"/>
    <n v="8.6999999999999993"/>
    <n v="987654"/>
    <s v="Adventure|Drama|Fantasy|Ecchi"/>
    <n v="4"/>
    <m/>
    <s v="https://www.crunchyroll.com/series/GRDV0019R/mushoku-tensei-jobless-reincarnation"/>
    <m/>
    <s v="https://www.hulu.com/series/mushoku-tensei-jobless-reincarnation-9a9a9a9a-9a9a-9a9a-9a9a-9a9a9a9a9a9a"/>
    <m/>
    <m/>
    <m/>
    <m/>
    <m/>
    <n v="2"/>
    <s v="https://cdn.myanimelist.net/images/anime/1898/138005.jpg"/>
    <m/>
    <x v="9"/>
    <m/>
  </r>
  <r>
    <n v="47"/>
    <x v="46"/>
    <x v="2"/>
    <x v="12"/>
    <x v="0"/>
    <x v="45"/>
    <d v="2019-03-19T00:00:00"/>
    <x v="10"/>
    <n v="8"/>
    <n v="987654"/>
    <s v="Action|Adventure|Comedy|Fantasy"/>
    <n v="4"/>
    <m/>
    <s v="https://www.crunchyroll.com/series/GRDV0019R/that-time-i-got-reincarnated-as-a-slime"/>
    <m/>
    <s v="https://www.hulu.com/series/that-time-i-got-reincarnated-as-a-slime-9a9a9a9a-9a9a-9a9a-9a9a-9a9a9a9a9a9a"/>
    <s v="https://www.funimation.com/shows/that-time-i-got-reincarnated-as-a-slime/"/>
    <m/>
    <m/>
    <m/>
    <m/>
    <n v="3"/>
    <s v="https://cdn.myanimelist.net/images/anime/1271/109841.jpg"/>
    <m/>
    <x v="9"/>
    <m/>
  </r>
  <r>
    <n v="48"/>
    <x v="47"/>
    <x v="2"/>
    <x v="12"/>
    <x v="0"/>
    <x v="46"/>
    <d v="2021-09-21T00:00:00"/>
    <x v="14"/>
    <n v="8.3000000000000007"/>
    <n v="987654"/>
    <s v="Action|Adventure|Comedy|Fantasy"/>
    <n v="4"/>
    <m/>
    <s v="https://www.crunchyroll.com/series/GRDV0019R/that-time-i-got-reincarnated-as-a-slime"/>
    <m/>
    <s v="https://www.hulu.com/series/that-time-i-got-reincarnated-as-a-slime-9a9a9a9a-9a9a-9a9a-9a9a-9a9a9a9a9a9a"/>
    <s v="https://www.funimation.com/shows/that-time-i-got-reincarnated-as-a-slime/"/>
    <m/>
    <m/>
    <m/>
    <m/>
    <n v="3"/>
    <s v="https://cdn.myanimelist.net/images/anime/1271/109841.jpg"/>
    <m/>
    <x v="9"/>
    <m/>
  </r>
  <r>
    <n v="49"/>
    <x v="48"/>
    <x v="2"/>
    <x v="12"/>
    <x v="1"/>
    <x v="47"/>
    <s v="Ongoing"/>
    <x v="21"/>
    <m/>
    <n v="987654"/>
    <s v="Action|Adventure|Comedy|Fantasy"/>
    <n v="4"/>
    <m/>
    <s v="https://www.crunchyroll.com/series/GRDV0019R/that-time-i-got-reincarnated-as-a-slime"/>
    <m/>
    <s v="https://www.hulu.com/series/that-time-i-got-reincarnated-as-a-slime-9a9a9a9a-9a9a-9a9a-9a9a-9a9a9a9a9a9a"/>
    <m/>
    <m/>
    <m/>
    <m/>
    <m/>
    <n v="2"/>
    <s v="https://cdn.myanimelist.net/images/anime/1211/143476.jpg"/>
    <m/>
    <x v="9"/>
    <m/>
  </r>
  <r>
    <n v="50"/>
    <x v="49"/>
    <x v="2"/>
    <x v="17"/>
    <x v="0"/>
    <x v="48"/>
    <d v="2015-09-29T00:00:00"/>
    <x v="4"/>
    <n v="7.8"/>
    <n v="876543"/>
    <s v="Action|Adventure|Fantasy|Supernatural"/>
    <n v="4"/>
    <m/>
    <s v="https://www.crunchyroll.com/series/GR751KNZY/overlord"/>
    <m/>
    <s v="https://www.hulu.com/series/overlord-9a9a9a9a-9a9a-9a9a-9a9a-9a9a9a9a9a9a"/>
    <s v="https://www.funimation.com/shows/overlord/"/>
    <m/>
    <m/>
    <m/>
    <m/>
    <n v="3"/>
    <s v="https://cdn.myanimelist.net/images/anime/1270/138692.jpg"/>
    <m/>
    <x v="9"/>
    <m/>
  </r>
  <r>
    <n v="51"/>
    <x v="50"/>
    <x v="2"/>
    <x v="17"/>
    <x v="0"/>
    <x v="49"/>
    <d v="2018-04-04T00:00:00"/>
    <x v="10"/>
    <n v="7.8"/>
    <n v="876543"/>
    <s v="Action|Adventure|Fantasy|Supernatural"/>
    <n v="4"/>
    <m/>
    <s v="https://www.crunchyroll.com/series/GR751KNZY/overlord"/>
    <m/>
    <s v="https://www.hulu.com/series/overlord-9a9a9a9a-9a9a-9a9a-9a9a-9a9a9a9a9a9a"/>
    <s v="https://www.funimation.com/shows/overlord/"/>
    <m/>
    <m/>
    <m/>
    <m/>
    <n v="3"/>
    <s v="https://cdn.myanimelist.net/images/anime/1270/138692.jpg"/>
    <m/>
    <x v="9"/>
    <m/>
  </r>
  <r>
    <n v="52"/>
    <x v="51"/>
    <x v="2"/>
    <x v="17"/>
    <x v="0"/>
    <x v="50"/>
    <d v="2018-10-02T00:00:00"/>
    <x v="10"/>
    <n v="7.7"/>
    <n v="876543"/>
    <s v="Action|Adventure|Fantasy|Supernatural"/>
    <n v="4"/>
    <m/>
    <s v="https://www.crunchyroll.com/series/GR751KNZY/overlord"/>
    <m/>
    <s v="https://www.hulu.com/series/overlord-9a9a9a9a-9a9a-9a9a-9a9a-9a9a9a9a9a9a"/>
    <s v="https://www.funimation.com/shows/overlord/"/>
    <m/>
    <m/>
    <m/>
    <m/>
    <n v="3"/>
    <s v="https://cdn.myanimelist.net/images/anime/1070/156613.jpg"/>
    <m/>
    <x v="9"/>
    <m/>
  </r>
  <r>
    <n v="53"/>
    <x v="52"/>
    <x v="2"/>
    <x v="17"/>
    <x v="0"/>
    <x v="51"/>
    <d v="2022-09-27T00:00:00"/>
    <x v="7"/>
    <n v="7.9"/>
    <n v="876543"/>
    <s v="Action|Adventure|Fantasy|Supernatural"/>
    <n v="4"/>
    <m/>
    <s v="https://www.crunchyroll.com/series/GR751KNZY/overlord"/>
    <m/>
    <s v="https://www.hulu.com/series/overlord-9a9a9a9a-9a9a-9a9a-9a9a-9a9a9a9a9a9a"/>
    <m/>
    <m/>
    <m/>
    <m/>
    <m/>
    <n v="2"/>
    <s v="https://cdn.myanimelist.net/images/anime/1270/138692.jpg"/>
    <m/>
    <x v="9"/>
    <m/>
  </r>
  <r>
    <n v="54"/>
    <x v="53"/>
    <x v="3"/>
    <x v="8"/>
    <x v="0"/>
    <x v="52"/>
    <d v="2007-07-29T00:00:00"/>
    <x v="17"/>
    <n v="8.6999999999999993"/>
    <n v="987654"/>
    <s v="Action|Drama|Mecha|Military|Sci-Fi|Supernatural"/>
    <n v="6"/>
    <s v="https://www.netflix.com/title/80065118"/>
    <s v="https://www.crunchyroll.com/series/GRMG8ZQZR/code-geass-lelouch-of-the-rebellion"/>
    <m/>
    <s v="https://www.hulu.com/series/code-geass-lelouch-of-the-rebellion-9a9a9a9a-9a9a-9a9a-9a9a-9a9a9a9a9a9a"/>
    <s v="https://www.funimation.com/shows/code-geass/"/>
    <m/>
    <m/>
    <m/>
    <m/>
    <n v="4"/>
    <s v="https://cdn.myanimelist.net/images/anime/1032/135088.jpg"/>
    <m/>
    <x v="9"/>
    <m/>
  </r>
  <r>
    <n v="55"/>
    <x v="54"/>
    <x v="3"/>
    <x v="8"/>
    <x v="0"/>
    <x v="53"/>
    <d v="2008-09-28T00:00:00"/>
    <x v="22"/>
    <n v="9"/>
    <n v="987654"/>
    <s v="Action|Drama|Mecha|Military|Sci-Fi|Supernatural"/>
    <n v="6"/>
    <s v="https://www.netflix.com/title/80065118"/>
    <s v="https://www.crunchyroll.com/series/GRMG8ZQZR/code-geass-lelouch-of-the-rebellion"/>
    <m/>
    <s v="https://www.hulu.com/series/code-geass-lelouch-of-the-rebellion-9a9a9a9a-9a9a-9a9a-9a9a-9a9a9a9a9a9a"/>
    <s v="https://www.funimation.com/shows/code-geass/"/>
    <m/>
    <m/>
    <m/>
    <m/>
    <n v="4"/>
    <s v="https://cdn.myanimelist.net/images/anime/1088/135089.jpg"/>
    <m/>
    <x v="9"/>
    <m/>
  </r>
  <r>
    <n v="56"/>
    <x v="55"/>
    <x v="3"/>
    <x v="13"/>
    <x v="0"/>
    <x v="54"/>
    <d v="1999-04-24T00:00:00"/>
    <x v="23"/>
    <n v="8.8000000000000007"/>
    <n v="876543"/>
    <s v="Action|Adventure|Comedy|Drama|Sci-Fi|Space"/>
    <n v="6"/>
    <s v="https://www.netflix.com/title/80001345"/>
    <s v="https://www.crunchyroll.com/series/GRQNVGK3Y/cowboy-bebop"/>
    <m/>
    <s v="https://www.hulu.com/series/cowboy-bebop-9a9a9a9a-9a9a-9a9a-9a9a-9a9a9a9a9a9a"/>
    <s v="https://www.funimation.com/shows/cowboy-bebop/"/>
    <m/>
    <m/>
    <m/>
    <m/>
    <n v="4"/>
    <s v="https://cdn.myanimelist.net/images/anime/4/19644.jpg"/>
    <m/>
    <x v="9"/>
    <m/>
  </r>
  <r>
    <n v="57"/>
    <x v="56"/>
    <x v="3"/>
    <x v="13"/>
    <x v="0"/>
    <x v="55"/>
    <d v="1996-03-27T00:00:00"/>
    <x v="24"/>
    <n v="8.3000000000000007"/>
    <n v="987654"/>
    <s v="Action|Drama|Mecha|Psychological|Sci-Fi"/>
    <n v="5"/>
    <s v="https://www.netflix.com/title/81033445"/>
    <m/>
    <m/>
    <m/>
    <m/>
    <m/>
    <m/>
    <m/>
    <m/>
    <n v="1"/>
    <s v="https://cdn.myanimelist.net/images/anime/1314/108941.jpg"/>
    <m/>
    <x v="9"/>
    <m/>
  </r>
  <r>
    <n v="58"/>
    <x v="57"/>
    <x v="4"/>
    <x v="23"/>
    <x v="0"/>
    <x v="56"/>
    <d v="1997-07-19T00:00:00"/>
    <x v="25"/>
    <n v="8.6"/>
    <n v="876543"/>
    <s v="Action|Drama|Mecha|Psychological|Sci-Fi"/>
    <n v="5"/>
    <s v="https://www.netflix.com/title/81033445"/>
    <m/>
    <m/>
    <m/>
    <m/>
    <m/>
    <m/>
    <m/>
    <m/>
    <n v="1"/>
    <s v="https://cdn.myanimelist.net/images/anime/1404/98182.jpg"/>
    <m/>
    <x v="9"/>
    <m/>
  </r>
  <r>
    <n v="59"/>
    <x v="58"/>
    <x v="1"/>
    <x v="8"/>
    <x v="0"/>
    <x v="57"/>
    <d v="1998-04-01T00:00:00"/>
    <x v="25"/>
    <n v="8.4"/>
    <n v="765432"/>
    <s v="Action|Adventure|Drama|Fantasy|Horror|Military|Supernatural"/>
    <n v="7"/>
    <m/>
    <s v="https://www.crunchyroll.com/series/GR751KNZY/berserk"/>
    <m/>
    <m/>
    <m/>
    <m/>
    <m/>
    <m/>
    <m/>
    <n v="1"/>
    <s v="https://cdn.myanimelist.net/images/anime/10/79352.jpg"/>
    <m/>
    <x v="9"/>
    <m/>
  </r>
  <r>
    <n v="60"/>
    <x v="58"/>
    <x v="1"/>
    <x v="9"/>
    <x v="0"/>
    <x v="58"/>
    <d v="2016-09-16T00:00:00"/>
    <x v="16"/>
    <n v="6.3"/>
    <n v="654321"/>
    <s v="Action|Adventure|Drama|Fantasy|Horror|Military|Supernatural"/>
    <n v="7"/>
    <m/>
    <s v="https://www.crunchyroll.com/series/GR751KNZY/berserk"/>
    <m/>
    <m/>
    <m/>
    <m/>
    <m/>
    <m/>
    <m/>
    <n v="1"/>
    <s v="https://cdn.myanimelist.net/images/anime/10/79352.jpg"/>
    <m/>
    <x v="9"/>
    <m/>
  </r>
  <r>
    <n v="61"/>
    <x v="58"/>
    <x v="1"/>
    <x v="9"/>
    <x v="0"/>
    <x v="59"/>
    <d v="2017-06-23T00:00:00"/>
    <x v="9"/>
    <n v="6.5"/>
    <n v="654321"/>
    <s v="Action|Adventure|Drama|Fantasy|Horror|Military|Supernatural"/>
    <n v="7"/>
    <m/>
    <s v="https://www.crunchyroll.com/series/GR751KNZY/berserk"/>
    <m/>
    <m/>
    <m/>
    <m/>
    <m/>
    <m/>
    <m/>
    <n v="1"/>
    <s v="https://cdn.myanimelist.net/images/anime/10/79352.jpg"/>
    <m/>
    <x v="9"/>
    <m/>
  </r>
  <r>
    <n v="62"/>
    <x v="59"/>
    <x v="0"/>
    <x v="13"/>
    <x v="0"/>
    <x v="60"/>
    <d v="2013-04-06T00:00:00"/>
    <x v="19"/>
    <n v="7.8"/>
    <n v="1234567"/>
    <s v="Action|Adventure|Supernatural"/>
    <n v="3"/>
    <s v="https://www.netflix.com/title/80179831"/>
    <s v="https://www.crunchyroll.com/series/GRQNVGK3Y/jojos-bizarre-adventure"/>
    <m/>
    <m/>
    <m/>
    <m/>
    <m/>
    <m/>
    <m/>
    <n v="2"/>
    <s v="https://cdn.myanimelist.net/images/anime/3/40409.jpg"/>
    <m/>
    <x v="9"/>
    <m/>
  </r>
  <r>
    <n v="63"/>
    <x v="60"/>
    <x v="0"/>
    <x v="24"/>
    <x v="0"/>
    <x v="61"/>
    <d v="2015-06-20T00:00:00"/>
    <x v="20"/>
    <n v="8.1999999999999993"/>
    <n v="1234567"/>
    <s v="Action|Adventure|Supernatural"/>
    <n v="3"/>
    <s v="https://www.netflix.com/title/80179831"/>
    <s v="https://www.crunchyroll.com/series/GR19VEX06/jojos-bizarre-adventure-stardust-crusaders"/>
    <m/>
    <m/>
    <m/>
    <m/>
    <m/>
    <m/>
    <m/>
    <n v="2"/>
    <s v="https://cdn.myanimelist.net/images/anime/11/55267.jpg"/>
    <m/>
    <x v="9"/>
    <m/>
  </r>
  <r>
    <n v="64"/>
    <x v="61"/>
    <x v="0"/>
    <x v="25"/>
    <x v="0"/>
    <x v="62"/>
    <d v="2016-12-24T00:00:00"/>
    <x v="16"/>
    <n v="8.3000000000000007"/>
    <n v="1234567"/>
    <s v="Action|Adventure|Supernatural"/>
    <n v="3"/>
    <s v="https://www.netflix.com/title/80179831"/>
    <s v="https://www.crunchyroll.com/series/GR19VEX06/jojos-bizarre-adventure-diamond-is-unbreakable"/>
    <m/>
    <m/>
    <m/>
    <m/>
    <m/>
    <m/>
    <m/>
    <n v="2"/>
    <s v="https://cdn.myanimelist.net/images/anime/3/79156.jpg"/>
    <m/>
    <x v="9"/>
    <m/>
  </r>
  <r>
    <n v="65"/>
    <x v="62"/>
    <x v="0"/>
    <x v="25"/>
    <x v="0"/>
    <x v="63"/>
    <d v="2019-07-28T00:00:00"/>
    <x v="10"/>
    <n v="8.6"/>
    <n v="1234567"/>
    <s v="Action|Adventure|Supernatural"/>
    <n v="3"/>
    <s v="https://www.netflix.com/title/80179831"/>
    <s v="https://www.crunchyroll.com/series/GR19VEX06/jojos-bizarre-adventure-golden-wind"/>
    <m/>
    <m/>
    <m/>
    <m/>
    <m/>
    <m/>
    <m/>
    <n v="2"/>
    <s v="https://cdn.myanimelist.net/images/anime/1882/94989.jpg"/>
    <m/>
    <x v="9"/>
    <m/>
  </r>
  <r>
    <n v="66"/>
    <x v="63"/>
    <x v="0"/>
    <x v="26"/>
    <x v="0"/>
    <x v="64"/>
    <d v="2022-12-01T00:00:00"/>
    <x v="14"/>
    <n v="8.5"/>
    <n v="1234567"/>
    <s v="Action|Adventure|Supernatural"/>
    <n v="3"/>
    <s v="https://www.netflix.com/title/80179831"/>
    <m/>
    <m/>
    <m/>
    <m/>
    <m/>
    <m/>
    <m/>
    <m/>
    <n v="1"/>
    <s v="https://cdn.myanimelist.net/images/anime/1896/119844.jpg"/>
    <m/>
    <x v="9"/>
    <m/>
  </r>
  <r>
    <n v="67"/>
    <x v="64"/>
    <x v="0"/>
    <x v="8"/>
    <x v="0"/>
    <x v="65"/>
    <d v="2014-09-21T00:00:00"/>
    <x v="20"/>
    <n v="8.4"/>
    <n v="987654"/>
    <s v="Sports|Comedy|Drama|School"/>
    <n v="4"/>
    <s v="https://www.netflix.com/title/80090673"/>
    <s v="https://www.crunchyroll.com/series/GR751KNZY/haikyu"/>
    <m/>
    <m/>
    <m/>
    <m/>
    <m/>
    <m/>
    <m/>
    <n v="2"/>
    <s v="https://cdn.myanimelist.net/images/anime/7/76014.jpg"/>
    <m/>
    <x v="9"/>
    <m/>
  </r>
  <r>
    <n v="68"/>
    <x v="65"/>
    <x v="0"/>
    <x v="8"/>
    <x v="0"/>
    <x v="66"/>
    <d v="2016-03-27T00:00:00"/>
    <x v="4"/>
    <n v="8.6"/>
    <n v="987654"/>
    <s v="Sports|Comedy|Drama|School"/>
    <n v="4"/>
    <s v="https://www.netflix.com/title/80090674"/>
    <s v="https://www.crunchyroll.com/series/GR751KNZY/haikyu"/>
    <m/>
    <m/>
    <m/>
    <m/>
    <m/>
    <m/>
    <m/>
    <n v="2"/>
    <s v="https://cdn.myanimelist.net/images/anime/9/76662.jpg"/>
    <m/>
    <x v="9"/>
    <m/>
  </r>
  <r>
    <n v="69"/>
    <x v="66"/>
    <x v="0"/>
    <x v="27"/>
    <x v="0"/>
    <x v="67"/>
    <d v="2016-12-10T00:00:00"/>
    <x v="16"/>
    <n v="8.9"/>
    <n v="987654"/>
    <s v="Sports|Comedy|Drama|School"/>
    <n v="4"/>
    <s v="https://www.netflix.com/title/80186926"/>
    <s v="https://www.crunchyroll.com/series/GR751KNZY/haikyu"/>
    <m/>
    <m/>
    <m/>
    <m/>
    <m/>
    <m/>
    <m/>
    <n v="2"/>
    <s v="https://cdn.myanimelist.net/images/anime/7/81992.jpg"/>
    <m/>
    <x v="9"/>
    <m/>
  </r>
  <r>
    <n v="70"/>
    <x v="67"/>
    <x v="0"/>
    <x v="8"/>
    <x v="0"/>
    <x v="68"/>
    <d v="2020-10-04T00:00:00"/>
    <x v="11"/>
    <n v="8.8000000000000007"/>
    <n v="987654"/>
    <s v="Sports|Comedy|Drama|School"/>
    <n v="4"/>
    <s v="https://www.netflix.com/title/81037582"/>
    <s v="https://www.crunchyroll.com/series/GR751KNZY/haikyu"/>
    <m/>
    <m/>
    <m/>
    <m/>
    <m/>
    <m/>
    <m/>
    <n v="2"/>
    <s v="https://cdn.myanimelist.net/images/anime/1813/105367.jpg"/>
    <m/>
    <x v="9"/>
    <m/>
  </r>
  <r>
    <n v="71"/>
    <x v="68"/>
    <x v="0"/>
    <x v="8"/>
    <x v="0"/>
    <x v="69"/>
    <d v="2012-09-23T00:00:00"/>
    <x v="19"/>
    <n v="8.1"/>
    <n v="876543"/>
    <s v="Sports|Comedy|School"/>
    <n v="3"/>
    <s v="https://www.netflix.com/title/70299043"/>
    <s v="https://www.crunchyroll.com/series/GY8VM8WGY/kurokos-basketball"/>
    <m/>
    <m/>
    <m/>
    <m/>
    <m/>
    <m/>
    <m/>
    <n v="2"/>
    <s v="https://cdn.myanimelist.net/images/anime/11/50453.jpg"/>
    <m/>
    <x v="9"/>
    <m/>
  </r>
  <r>
    <n v="72"/>
    <x v="69"/>
    <x v="0"/>
    <x v="8"/>
    <x v="0"/>
    <x v="70"/>
    <d v="2014-03-30T00:00:00"/>
    <x v="8"/>
    <n v="8.4"/>
    <n v="876543"/>
    <s v="Sports|Comedy|School"/>
    <n v="3"/>
    <s v="https://www.netflix.com/title/70301896"/>
    <s v="https://www.crunchyroll.com/series/GY8VM8WGY/kurokos-basketball"/>
    <m/>
    <m/>
    <m/>
    <m/>
    <m/>
    <m/>
    <m/>
    <n v="2"/>
    <s v="https://cdn.myanimelist.net/images/anime/9/56155.jpg"/>
    <m/>
    <x v="9"/>
    <m/>
  </r>
  <r>
    <n v="73"/>
    <x v="70"/>
    <x v="0"/>
    <x v="8"/>
    <x v="0"/>
    <x v="71"/>
    <d v="2015-06-29T00:00:00"/>
    <x v="4"/>
    <n v="8.6999999999999993"/>
    <n v="876543"/>
    <s v="Sports|Comedy|School"/>
    <n v="3"/>
    <s v="https://www.netflix.com/title/80050063"/>
    <s v="https://www.crunchyroll.com/series/GY8VM8WGY/kurokos-basketball"/>
    <m/>
    <m/>
    <m/>
    <m/>
    <m/>
    <m/>
    <m/>
    <n v="2"/>
    <s v="https://cdn.myanimelist.net/images/anime/4/68299.jpg"/>
    <m/>
    <x v="9"/>
    <m/>
  </r>
  <r>
    <n v="74"/>
    <x v="71"/>
    <x v="0"/>
    <x v="12"/>
    <x v="0"/>
    <x v="72"/>
    <d v="2023-03-26T00:00:00"/>
    <x v="7"/>
    <n v="8.3000000000000007"/>
    <n v="987654"/>
    <s v="Sports|Action|Psychological"/>
    <n v="3"/>
    <m/>
    <s v="https://www.crunchyroll.com/series/G4PH0WXVJ/blue-lock"/>
    <m/>
    <m/>
    <m/>
    <m/>
    <m/>
    <m/>
    <m/>
    <n v="1"/>
    <s v="https://cdn.myanimelist.net/images/anime/1258/126929.jpg"/>
    <m/>
    <x v="9"/>
    <m/>
  </r>
  <r>
    <n v="75"/>
    <x v="72"/>
    <x v="0"/>
    <x v="12"/>
    <x v="0"/>
    <x v="73"/>
    <d v="2019-12-13T00:00:00"/>
    <x v="12"/>
    <n v="8.1999999999999993"/>
    <n v="876543"/>
    <s v="Adventure|Comedy|Sci-Fi"/>
    <n v="3"/>
    <m/>
    <s v="https://www.crunchyroll.com/series/GRDV0019R/dr-stone"/>
    <m/>
    <m/>
    <s v="https://www.funimation.com/shows/dr-stone/"/>
    <m/>
    <m/>
    <m/>
    <m/>
    <n v="2"/>
    <s v="https://cdn.myanimelist.net/images/anime/1613/102576.jpg"/>
    <m/>
    <x v="9"/>
    <m/>
  </r>
  <r>
    <n v="76"/>
    <x v="73"/>
    <x v="0"/>
    <x v="8"/>
    <x v="1"/>
    <x v="74"/>
    <s v="Ongoing"/>
    <x v="7"/>
    <n v="8.6999999999999993"/>
    <n v="1456789"/>
    <s v="Action|Comedy|Slice of Life"/>
    <n v="3"/>
    <m/>
    <s v="https://www.crunchyroll.com/series/G4PH0WQ4Y/spy-x-family"/>
    <m/>
    <s v="https://www.hulu.com/series/spy-x-family-df383b0a-1c3e-4e2b-9f0a-7a0b5e8b0b1a"/>
    <m/>
    <m/>
    <m/>
    <m/>
    <m/>
    <n v="2"/>
    <s v="https://cdn.myanimelist.net/images/anime/1441/122795.jpg"/>
    <m/>
    <x v="9"/>
    <m/>
  </r>
  <r>
    <n v="77"/>
    <x v="74"/>
    <x v="0"/>
    <x v="9"/>
    <x v="0"/>
    <x v="75"/>
    <d v="2016-09-27T00:00:00"/>
    <x v="16"/>
    <n v="8.5"/>
    <n v="987654"/>
    <s v="Action|Comedy|Supernatural"/>
    <n v="3"/>
    <m/>
    <s v="https://www.crunchyroll.com/series/GRG51K806/mob-psycho-100"/>
    <m/>
    <m/>
    <s v="https://www.funimation.com/shows/mob-psycho-100/"/>
    <m/>
    <m/>
    <m/>
    <m/>
    <n v="2"/>
    <s v="https://cdn.myanimelist.net/images/anime/8/80356.jpg"/>
    <m/>
    <x v="9"/>
    <m/>
  </r>
  <r>
    <n v="78"/>
    <x v="75"/>
    <x v="0"/>
    <x v="17"/>
    <x v="0"/>
    <x v="76"/>
    <d v="2019-04-01T00:00:00"/>
    <x v="12"/>
    <n v="8.9"/>
    <n v="987654"/>
    <s v="Action|Comedy|Supernatural"/>
    <n v="3"/>
    <m/>
    <s v="https://www.crunchyroll.com/series/GRG51K806/mob-psycho-100"/>
    <m/>
    <m/>
    <s v="https://www.funimation.com/shows/mob-psycho-100/"/>
    <m/>
    <m/>
    <m/>
    <m/>
    <n v="2"/>
    <s v="https://cdn.myanimelist.net/images/anime/1918/96303.jpg"/>
    <m/>
    <x v="9"/>
    <m/>
  </r>
  <r>
    <n v="79"/>
    <x v="76"/>
    <x v="0"/>
    <x v="9"/>
    <x v="0"/>
    <x v="77"/>
    <d v="2022-12-22T00:00:00"/>
    <x v="7"/>
    <n v="9.1"/>
    <n v="987654"/>
    <s v="Action|Comedy|Supernatural"/>
    <n v="3"/>
    <m/>
    <s v="https://www.crunchyroll.com/series/GRG51K806/mob-psycho-100"/>
    <m/>
    <m/>
    <m/>
    <m/>
    <m/>
    <m/>
    <m/>
    <n v="1"/>
    <s v="https://cdn.myanimelist.net/images/anime/1228/125011.jpg"/>
    <m/>
    <x v="9"/>
    <m/>
  </r>
  <r>
    <n v="80"/>
    <x v="77"/>
    <x v="0"/>
    <x v="9"/>
    <x v="0"/>
    <x v="78"/>
    <d v="2019-03-29T00:00:00"/>
    <x v="12"/>
    <n v="8.6"/>
    <n v="1234567"/>
    <s v="Mystery|Horror|Psychological|Thriller"/>
    <n v="4"/>
    <m/>
    <s v="https://www.crunchyroll.com/series/GY5P48XEY/the-promised-neverland"/>
    <m/>
    <s v="https://www.hulu.com/series/the-promised-neverland-5c3c3e3a-9b3a-4b3a-8b3a-3b3a3b3a3b3a"/>
    <m/>
    <m/>
    <m/>
    <m/>
    <m/>
    <n v="2"/>
    <s v="https://cdn.myanimelist.net/images/anime/1830/118780.jpg"/>
    <m/>
    <x v="9"/>
    <m/>
  </r>
  <r>
    <n v="81"/>
    <x v="78"/>
    <x v="0"/>
    <x v="14"/>
    <x v="0"/>
    <x v="79"/>
    <d v="2021-03-26T00:00:00"/>
    <x v="14"/>
    <n v="6.8"/>
    <n v="987654"/>
    <s v="Mystery|Horror|Psychological|Thriller"/>
    <n v="4"/>
    <m/>
    <s v="https://www.crunchyroll.com/series/GRDV0019R/the-promised-neverland"/>
    <m/>
    <s v="https://www.hulu.com/series/the-promised-neverland-2c64a7e4-2f0b-4b5c-9b9a-0b9b9b9b9b9b"/>
    <m/>
    <m/>
    <m/>
    <m/>
    <m/>
    <n v="2"/>
    <s v="https://cdn.myanimelist.net/images/anime/1815/110626.jpg"/>
    <m/>
    <x v="9"/>
    <m/>
  </r>
  <r>
    <n v="82"/>
    <x v="79"/>
    <x v="0"/>
    <x v="12"/>
    <x v="0"/>
    <x v="80"/>
    <d v="2019-12-28T00:00:00"/>
    <x v="12"/>
    <n v="7.7"/>
    <n v="876543"/>
    <s v="Action|Supernatural"/>
    <n v="2"/>
    <m/>
    <s v="https://www.crunchyroll.com/series/GY5P48XEY/fire-force"/>
    <m/>
    <m/>
    <s v="https://www.funimation.com/shows/fire-force/"/>
    <m/>
    <m/>
    <m/>
    <m/>
    <n v="2"/>
    <s v="https://cdn.myanimelist.net/images/anime/1664/103275.jpg"/>
    <m/>
    <x v="9"/>
    <m/>
  </r>
  <r>
    <n v="83"/>
    <x v="80"/>
    <x v="0"/>
    <x v="12"/>
    <x v="0"/>
    <x v="81"/>
    <d v="2020-12-12T00:00:00"/>
    <x v="11"/>
    <n v="8"/>
    <n v="876543"/>
    <s v="Action|Supernatural"/>
    <n v="2"/>
    <m/>
    <s v="https://www.crunchyroll.com/series/GY5P48XEY/fire-force"/>
    <m/>
    <m/>
    <s v="https://www.funimation.com/shows/fire-force/"/>
    <m/>
    <m/>
    <m/>
    <m/>
    <n v="2"/>
    <s v="https://cdn.myanimelist.net/images/anime/1673/107657.jpg"/>
    <m/>
    <x v="9"/>
    <m/>
  </r>
  <r>
    <n v="84"/>
    <x v="81"/>
    <x v="0"/>
    <x v="28"/>
    <x v="0"/>
    <x v="82"/>
    <d v="2009-03-30T00:00:00"/>
    <x v="22"/>
    <n v="7.8"/>
    <n v="765432"/>
    <s v="Action|Comedy|Fantasy|Supernatural"/>
    <n v="4"/>
    <m/>
    <m/>
    <m/>
    <s v="https://www.hulu.com/series/soul-eater-5b5b5b5b-5b5b-5b5b-5b5b-5b5b5b5b5b5b"/>
    <s v="https://www.funimation.com/shows/soul-eater/"/>
    <m/>
    <m/>
    <m/>
    <m/>
    <n v="2"/>
    <s v="https://cdn.myanimelist.net/images/anime/1071/149486.jpg"/>
    <m/>
    <x v="9"/>
    <m/>
  </r>
  <r>
    <n v="85"/>
    <x v="82"/>
    <x v="0"/>
    <x v="9"/>
    <x v="0"/>
    <x v="83"/>
    <d v="2014-03-23T00:00:00"/>
    <x v="20"/>
    <n v="7.9"/>
    <n v="654321"/>
    <s v="Action|Adventure|Supernatural"/>
    <n v="3"/>
    <m/>
    <s v="https://www.crunchyroll.com/series/G6X3JVD0Y/noragami"/>
    <m/>
    <s v="https://www.hulu.com/series/noragami-5b5b5b5b-5b5b-5b5b-5b5b-5b5b5b5b5b5b"/>
    <m/>
    <m/>
    <m/>
    <m/>
    <m/>
    <n v="2"/>
    <s v="https://cdn.myanimelist.net/images/anime/1886/128266.jpg"/>
    <m/>
    <x v="9"/>
    <m/>
  </r>
  <r>
    <n v="86"/>
    <x v="83"/>
    <x v="0"/>
    <x v="17"/>
    <x v="0"/>
    <x v="84"/>
    <d v="2015-12-26T00:00:00"/>
    <x v="4"/>
    <n v="8.3000000000000007"/>
    <n v="654321"/>
    <s v="Action|Adventure|Supernatural"/>
    <n v="3"/>
    <m/>
    <s v="https://www.crunchyroll.com/series/G6X3JVD0Y/noragami"/>
    <m/>
    <s v="https://www.hulu.com/series/noragami-aragoto-5b5b5b5b-5b5b-5b5b-5b5b-5b5b5b5b5b5b"/>
    <m/>
    <m/>
    <m/>
    <m/>
    <m/>
    <n v="2"/>
    <s v="https://cdn.myanimelist.net/images/anime/1689/94850.jpg"/>
    <m/>
    <x v="9"/>
    <m/>
  </r>
  <r>
    <n v="87"/>
    <x v="84"/>
    <x v="1"/>
    <x v="12"/>
    <x v="0"/>
    <x v="85"/>
    <d v="2015-03-26T00:00:00"/>
    <x v="20"/>
    <n v="8.4"/>
    <n v="876543"/>
    <s v="Action|Horror|Psychological|Sci-Fi"/>
    <n v="4"/>
    <m/>
    <s v="https://www.crunchyroll.com/series/GY5P48XEY/parasyte-the-maxim"/>
    <m/>
    <s v="https://www.hulu.com/series/parasyte-the-maxim-5b5b5b5b-5b5b-5b5b-5b5b-5b5b5b5b5b5b"/>
    <m/>
    <m/>
    <m/>
    <m/>
    <m/>
    <n v="2"/>
    <s v="https://cdn.myanimelist.net/images/anime/3/73178.jpg"/>
    <m/>
    <x v="9"/>
    <m/>
  </r>
  <r>
    <n v="88"/>
    <x v="85"/>
    <x v="1"/>
    <x v="10"/>
    <x v="0"/>
    <x v="86"/>
    <d v="2013-03-22T00:00:00"/>
    <x v="19"/>
    <n v="8.3000000000000007"/>
    <n v="765432"/>
    <s v="Action|Mystery|Psychological|Sci-Fi"/>
    <n v="4"/>
    <m/>
    <s v="https://www.crunchyroll.com/series/GY5P48XEY/psycho-pass"/>
    <m/>
    <m/>
    <s v="https://www.funimation.com/shows/psycho-pass/"/>
    <m/>
    <m/>
    <m/>
    <m/>
    <n v="2"/>
    <s v="https://cdn.myanimelist.net/images/anime/1314/142015.jpg"/>
    <m/>
    <x v="9"/>
    <m/>
  </r>
  <r>
    <n v="89"/>
    <x v="86"/>
    <x v="1"/>
    <x v="14"/>
    <x v="0"/>
    <x v="87"/>
    <d v="2014-12-19T00:00:00"/>
    <x v="20"/>
    <n v="7.7"/>
    <n v="654321"/>
    <s v="Action|Mystery|Psychological|Sci-Fi"/>
    <n v="4"/>
    <m/>
    <s v="https://www.crunchyroll.com/series/GY5P48XEY/psycho-pass"/>
    <m/>
    <m/>
    <s v="https://www.funimation.com/shows/psycho-pass/"/>
    <m/>
    <m/>
    <m/>
    <m/>
    <n v="2"/>
    <s v="https://cdn.myanimelist.net/images/anime/1197/100616.jpg"/>
    <m/>
    <x v="9"/>
    <m/>
  </r>
  <r>
    <n v="90"/>
    <x v="87"/>
    <x v="1"/>
    <x v="29"/>
    <x v="0"/>
    <x v="88"/>
    <d v="2019-12-13T00:00:00"/>
    <x v="12"/>
    <n v="7.9"/>
    <n v="543210"/>
    <s v="Action|Mystery|Psychological|Sci-Fi"/>
    <n v="4"/>
    <m/>
    <m/>
    <s v="https://www.amazon.com/Psycho-Pass-3-Season-1/dp/B07ZQZQZQZ"/>
    <m/>
    <m/>
    <m/>
    <m/>
    <m/>
    <m/>
    <n v="1"/>
    <s v="https://cdn.myanimelist.net/images/anime/1406/104344.jpg"/>
    <m/>
    <x v="9"/>
    <m/>
  </r>
  <r>
    <n v="91"/>
    <x v="88"/>
    <x v="1"/>
    <x v="9"/>
    <x v="0"/>
    <x v="89"/>
    <d v="2016-03-25T00:00:00"/>
    <x v="16"/>
    <n v="8.3000000000000007"/>
    <n v="876543"/>
    <s v="Mystery|Psychological|Supernatural"/>
    <n v="3"/>
    <m/>
    <s v="https://www.crunchyroll.com/series/GY5P48XEY/erased"/>
    <m/>
    <s v="https://www.hulu.com/series/erased-5b5b5b5b-5b5b-5b5b-5b5b-5b5b5b5b5b5b"/>
    <m/>
    <m/>
    <m/>
    <m/>
    <m/>
    <n v="2"/>
    <s v="https://cdn.myanimelist.net/images/anime/10/77957.jpg"/>
    <m/>
    <x v="9"/>
    <m/>
  </r>
  <r>
    <n v="92"/>
    <x v="89"/>
    <x v="1"/>
    <x v="17"/>
    <x v="0"/>
    <x v="90"/>
    <d v="2017-09-29T00:00:00"/>
    <x v="9"/>
    <n v="8.6999999999999993"/>
    <n v="765432"/>
    <s v="Adventure|Drama|Fantasy|Mystery|Sci-Fi"/>
    <n v="5"/>
    <m/>
    <m/>
    <s v="https://www.amazon.com/Made-in-Abyss-Season-1/dp/B07ZQZQZQZ"/>
    <m/>
    <m/>
    <m/>
    <m/>
    <s v="https://www.hidive.com/tv/made-in-abyss"/>
    <m/>
    <n v="2"/>
    <s v="https://cdn.myanimelist.net/images/anime/6/86733.jpg"/>
    <m/>
    <x v="9"/>
    <m/>
  </r>
  <r>
    <n v="93"/>
    <x v="90"/>
    <x v="4"/>
    <x v="23"/>
    <x v="0"/>
    <x v="91"/>
    <d v="2020-01-17T00:00:00"/>
    <x v="11"/>
    <n v="9"/>
    <n v="654321"/>
    <s v="Adventure|Drama|Fantasy|Mystery|Sci-Fi"/>
    <n v="5"/>
    <m/>
    <m/>
    <s v="https://www.amazon.com/Made-in-Abyss-Dawn-of-the-Deep-Soul/dp/B07ZQZQZQZ"/>
    <m/>
    <m/>
    <m/>
    <m/>
    <m/>
    <m/>
    <n v="1"/>
    <s v="https://cdn.myanimelist.net/images/anime/1803/117183.jpg"/>
    <m/>
    <x v="9"/>
    <m/>
  </r>
  <r>
    <n v="94"/>
    <x v="91"/>
    <x v="1"/>
    <x v="9"/>
    <x v="0"/>
    <x v="92"/>
    <d v="2022-09-28T00:00:00"/>
    <x v="7"/>
    <n v="9.1"/>
    <n v="765432"/>
    <s v="Adventure|Drama|Fantasy|Mystery|Sci-Fi"/>
    <n v="5"/>
    <m/>
    <m/>
    <m/>
    <m/>
    <m/>
    <m/>
    <m/>
    <s v="https://www.hidive.com/tv/made-in-abyss-the-golden-city-of-the-scorching-sun"/>
    <m/>
    <n v="1"/>
    <s v="https://cdn.myanimelist.net/images/anime/1874/125099.jpg"/>
    <m/>
    <x v="9"/>
    <m/>
  </r>
  <r>
    <n v="95"/>
    <x v="92"/>
    <x v="2"/>
    <x v="17"/>
    <x v="0"/>
    <x v="93"/>
    <d v="2013-06-27T00:00:00"/>
    <x v="8"/>
    <n v="7.8"/>
    <n v="654321"/>
    <s v="Comedy|Fantasy"/>
    <n v="2"/>
    <m/>
    <s v="https://www.crunchyroll.com/series/GY5P48XEY/the-devil-is-a-part-timer"/>
    <m/>
    <m/>
    <s v="https://www.funimation.com/shows/the-devil-is-a-part-timer/"/>
    <m/>
    <m/>
    <m/>
    <m/>
    <n v="2"/>
    <s v="https://cdn.myanimelist.net/images/anime/3/50177.jpg"/>
    <m/>
    <x v="9"/>
    <m/>
  </r>
  <r>
    <n v="96"/>
    <x v="93"/>
    <x v="2"/>
    <x v="9"/>
    <x v="0"/>
    <x v="94"/>
    <d v="2022-09-29T00:00:00"/>
    <x v="7"/>
    <n v="7.5"/>
    <n v="543210"/>
    <s v="Comedy|Fantasy"/>
    <n v="2"/>
    <m/>
    <s v="https://www.crunchyroll.com/series/GY5P48XEY/the-devil-is-a-part-timer"/>
    <m/>
    <m/>
    <m/>
    <m/>
    <m/>
    <m/>
    <m/>
    <n v="1"/>
    <s v="https://cdn.myanimelist.net/images/anime/1502/124354.jpg"/>
    <m/>
    <x v="9"/>
    <m/>
  </r>
  <r>
    <n v="97"/>
    <x v="94"/>
    <x v="2"/>
    <x v="9"/>
    <x v="0"/>
    <x v="95"/>
    <d v="2014-06-25T00:00:00"/>
    <x v="20"/>
    <n v="8.1"/>
    <n v="876543"/>
    <s v="Adventure|Comedy|Ecchi|Fantasy"/>
    <n v="4"/>
    <m/>
    <m/>
    <m/>
    <m/>
    <m/>
    <m/>
    <m/>
    <s v="https://www.hidive.com/tv/no-game-no-life"/>
    <m/>
    <n v="1"/>
    <s v="https://cdn.myanimelist.net/images/anime/1074/111944.jpg"/>
    <m/>
    <x v="9"/>
    <m/>
  </r>
  <r>
    <n v="98"/>
    <x v="95"/>
    <x v="4"/>
    <x v="23"/>
    <x v="0"/>
    <x v="96"/>
    <d v="2017-07-15T00:00:00"/>
    <x v="9"/>
    <n v="8.4"/>
    <n v="765432"/>
    <s v="Adventure|Drama|Fantasy|Romance"/>
    <n v="4"/>
    <m/>
    <m/>
    <m/>
    <m/>
    <m/>
    <m/>
    <m/>
    <s v="https://www.hidive.com/movies/no-game-no-life-zero"/>
    <m/>
    <n v="1"/>
    <s v="https://cdn.myanimelist.net/images/anime/1085/90759.jpg"/>
    <m/>
    <x v="9"/>
    <m/>
  </r>
  <r>
    <n v="99"/>
    <x v="96"/>
    <x v="2"/>
    <x v="27"/>
    <x v="0"/>
    <x v="97"/>
    <d v="2016-03-17T00:00:00"/>
    <x v="16"/>
    <n v="8"/>
    <n v="876543"/>
    <s v="Adventure|Comedy|Fantasy|Parody"/>
    <n v="4"/>
    <m/>
    <s v="https://www.crunchyroll.com/series/GY5P48XEY/konosuba-gods-blessing-on-this-wonderful-world"/>
    <m/>
    <m/>
    <m/>
    <m/>
    <m/>
    <m/>
    <m/>
    <n v="1"/>
    <s v="https://cdn.myanimelist.net/images/anime/1895/142748.jpg"/>
    <m/>
    <x v="9"/>
    <m/>
  </r>
  <r>
    <n v="100"/>
    <x v="97"/>
    <x v="2"/>
    <x v="27"/>
    <x v="0"/>
    <x v="98"/>
    <d v="2017-03-16T00:00:00"/>
    <x v="9"/>
    <n v="8.1999999999999993"/>
    <n v="876543"/>
    <s v="Adventure|Comedy|Fantasy|Parody"/>
    <n v="4"/>
    <m/>
    <s v="https://www.crunchyroll.com/series/GY5P48XEY/konosuba-gods-blessing-on-this-wonderful-world"/>
    <m/>
    <m/>
    <m/>
    <m/>
    <m/>
    <m/>
    <m/>
    <n v="1"/>
    <s v="https://cdn.myanimelist.net/images/anime/2/83188.jpg"/>
    <m/>
    <x v="9"/>
    <m/>
  </r>
  <r>
    <n v="101"/>
    <x v="98"/>
    <x v="4"/>
    <x v="23"/>
    <x v="0"/>
    <x v="99"/>
    <d v="2019-08-30T00:00:00"/>
    <x v="12"/>
    <n v="8.4"/>
    <n v="765432"/>
    <s v="Adventure|Comedy|Fantasy|Parody"/>
    <n v="4"/>
    <m/>
    <s v="https://www.crunchyroll.com/movies/konosuba-legend-of-crimson"/>
    <m/>
    <m/>
    <m/>
    <m/>
    <m/>
    <m/>
    <m/>
    <n v="1"/>
    <s v="https://cdn.myanimelist.net/images/anime/1638/119321.jpg"/>
    <m/>
    <x v="9"/>
    <m/>
  </r>
  <r>
    <n v="102"/>
    <x v="99"/>
    <x v="2"/>
    <x v="9"/>
    <x v="0"/>
    <x v="100"/>
    <d v="2023-06-22T00:00:00"/>
    <x v="13"/>
    <n v="8.1"/>
    <n v="654321"/>
    <s v="Adventure|Comedy|Fantasy"/>
    <n v="3"/>
    <m/>
    <s v="https://www.crunchyroll.com/series/GY5P48XEY/konosuba-an-explosion-on-this-wonderful-world"/>
    <m/>
    <m/>
    <m/>
    <m/>
    <m/>
    <m/>
    <m/>
    <n v="1"/>
    <s v="https://cdn.myanimelist.net/images/anime/1626/135844.jpg"/>
    <m/>
    <x v="9"/>
    <m/>
  </r>
  <r>
    <n v="103"/>
    <x v="100"/>
    <x v="2"/>
    <x v="9"/>
    <x v="0"/>
    <x v="101"/>
    <d v="2017-03-31T00:00:00"/>
    <x v="9"/>
    <n v="7.9"/>
    <n v="654321"/>
    <s v="Action|Fantasy|Military"/>
    <n v="3"/>
    <m/>
    <s v="https://www.crunchyroll.com/series/GY5P48XEY/the-saga-of-tanya-the-evil"/>
    <m/>
    <m/>
    <m/>
    <m/>
    <m/>
    <m/>
    <m/>
    <n v="1"/>
    <s v="https://cdn.myanimelist.net/images/anime/5/82890.jpg"/>
    <m/>
    <x v="9"/>
    <m/>
  </r>
  <r>
    <n v="104"/>
    <x v="101"/>
    <x v="4"/>
    <x v="23"/>
    <x v="0"/>
    <x v="102"/>
    <d v="2019-02-08T00:00:00"/>
    <x v="12"/>
    <n v="8.1"/>
    <n v="543210"/>
    <s v="Action|Fantasy|Military"/>
    <n v="3"/>
    <m/>
    <s v="https://www.crunchyroll.com/movies/the-saga-of-tanya-the-evil-the-movie"/>
    <m/>
    <m/>
    <m/>
    <m/>
    <m/>
    <m/>
    <m/>
    <n v="1"/>
    <s v="https://cdn.myanimelist.net/images/anime/1249/117182.jpg"/>
    <m/>
    <x v="9"/>
    <m/>
  </r>
  <r>
    <n v="105"/>
    <x v="102"/>
    <x v="2"/>
    <x v="9"/>
    <x v="0"/>
    <x v="103"/>
    <d v="2022-12-21T00:00:00"/>
    <x v="7"/>
    <n v="7.6"/>
    <n v="432109"/>
    <s v="Action|Adventure|Fantasy"/>
    <n v="3"/>
    <m/>
    <m/>
    <m/>
    <m/>
    <m/>
    <m/>
    <m/>
    <s v="https://www.hidive.com/tv/reincarnated-as-a-sword"/>
    <m/>
    <n v="1"/>
    <s v="https://cdn.myanimelist.net/images/anime/1191/127909.jpg"/>
    <m/>
    <x v="9"/>
    <m/>
  </r>
  <r>
    <n v="106"/>
    <x v="103"/>
    <x v="2"/>
    <x v="30"/>
    <x v="0"/>
    <x v="103"/>
    <d v="2023-02-15T00:00:00"/>
    <x v="7"/>
    <n v="8.1999999999999993"/>
    <n v="543210"/>
    <s v="Action|Comedy|Fantasy"/>
    <n v="3"/>
    <m/>
    <m/>
    <m/>
    <m/>
    <m/>
    <m/>
    <m/>
    <s v="https://www.hidive.com/tv/the-eminence-in-shadow"/>
    <m/>
    <n v="1"/>
    <s v="https://cdn.myanimelist.net/images/anime/1091/128729.jpg"/>
    <m/>
    <x v="9"/>
    <m/>
  </r>
  <r>
    <n v="107"/>
    <x v="104"/>
    <x v="2"/>
    <x v="8"/>
    <x v="0"/>
    <x v="104"/>
    <d v="2014-03-22T00:00:00"/>
    <x v="8"/>
    <n v="7.9"/>
    <n v="543210"/>
    <s v="Action|Adventure|Fantasy|Game"/>
    <n v="4"/>
    <m/>
    <s v="https://www.crunchyroll.com/series/GY5P48XEY/log-horizon"/>
    <m/>
    <m/>
    <m/>
    <m/>
    <m/>
    <m/>
    <m/>
    <n v="1"/>
    <s v="https://cdn.myanimelist.net/images/anime/5/84004.jpg"/>
    <m/>
    <x v="9"/>
    <m/>
  </r>
  <r>
    <n v="108"/>
    <x v="105"/>
    <x v="2"/>
    <x v="8"/>
    <x v="0"/>
    <x v="105"/>
    <d v="2015-03-28T00:00:00"/>
    <x v="20"/>
    <n v="7.7"/>
    <n v="432109"/>
    <s v="Action|Adventure|Fantasy|Game"/>
    <n v="4"/>
    <m/>
    <s v="https://www.crunchyroll.com/series/GY5P48XEY/log-horizon"/>
    <m/>
    <m/>
    <m/>
    <m/>
    <m/>
    <m/>
    <m/>
    <n v="1"/>
    <s v="https://cdn.myanimelist.net/images/anime/5/68097.jpg"/>
    <m/>
    <x v="9"/>
    <m/>
  </r>
  <r>
    <n v="109"/>
    <x v="106"/>
    <x v="2"/>
    <x v="9"/>
    <x v="0"/>
    <x v="106"/>
    <d v="2021-03-31T00:00:00"/>
    <x v="14"/>
    <n v="7.5"/>
    <n v="321098"/>
    <s v="Action|Adventure|Fantasy|Game"/>
    <n v="4"/>
    <m/>
    <s v="https://www.crunchyroll.com/series/GY5P48XEY/log-horizon"/>
    <m/>
    <m/>
    <m/>
    <m/>
    <m/>
    <m/>
    <m/>
    <n v="1"/>
    <s v="https://cdn.myanimelist.net/images/anime/1510/108026.jpg"/>
    <m/>
    <x v="9"/>
    <m/>
  </r>
  <r>
    <n v="110"/>
    <x v="107"/>
    <x v="2"/>
    <x v="13"/>
    <x v="0"/>
    <x v="65"/>
    <d v="2014-09-28T00:00:00"/>
    <x v="20"/>
    <n v="7.5"/>
    <n v="654321"/>
    <s v="Action|Fantasy|Sci-Fi"/>
    <n v="3"/>
    <m/>
    <s v="https://www.crunchyroll.com/series/GY5P48XEY/the-irregular-at-magic-high-school"/>
    <m/>
    <m/>
    <s v="https://www.funimation.com/shows/the-irregular-at-magic-high-school/"/>
    <m/>
    <m/>
    <m/>
    <m/>
    <n v="2"/>
    <s v="https://cdn.myanimelist.net/images/anime/11/61039.jpg"/>
    <m/>
    <x v="9"/>
    <m/>
  </r>
  <r>
    <n v="111"/>
    <x v="108"/>
    <x v="2"/>
    <x v="17"/>
    <x v="0"/>
    <x v="107"/>
    <d v="2020-12-27T00:00:00"/>
    <x v="11"/>
    <n v="7.6"/>
    <n v="543210"/>
    <s v="Action|Fantasy|Sci-Fi"/>
    <n v="3"/>
    <m/>
    <s v="https://www.crunchyroll.com/series/GY5P48XEY/the-irregular-at-magic-high-school"/>
    <m/>
    <m/>
    <m/>
    <m/>
    <m/>
    <m/>
    <m/>
    <n v="1"/>
    <s v="https://cdn.myanimelist.net/images/anime/1322/114329.jpg"/>
    <m/>
    <x v="9"/>
    <m/>
  </r>
  <r>
    <n v="112"/>
    <x v="109"/>
    <x v="5"/>
    <x v="23"/>
    <x v="0"/>
    <x v="108"/>
    <d v="2021-12-31T00:00:00"/>
    <x v="14"/>
    <n v="7.4"/>
    <n v="432109"/>
    <s v="Action|Fantasy|Sci-Fi"/>
    <n v="3"/>
    <m/>
    <s v="https://www.crunchyroll.com/series/GY5P48XEY/the-irregular-at-magic-high-school"/>
    <m/>
    <m/>
    <m/>
    <m/>
    <m/>
    <m/>
    <m/>
    <n v="1"/>
    <s v="https://cdn.myanimelist.net/images/anime/1847/120234.jpg"/>
    <m/>
    <x v="9"/>
    <m/>
  </r>
  <r>
    <n v="113"/>
    <x v="110"/>
    <x v="2"/>
    <x v="9"/>
    <x v="0"/>
    <x v="109"/>
    <d v="2017-09-27T00:00:00"/>
    <x v="9"/>
    <n v="7.9"/>
    <n v="765432"/>
    <s v="Drama|Psychological"/>
    <n v="2"/>
    <m/>
    <s v="https://www.crunchyroll.com/series/GY5P48XEY/classroom-of-the-elite"/>
    <m/>
    <m/>
    <m/>
    <m/>
    <m/>
    <m/>
    <m/>
    <n v="1"/>
    <s v="https://cdn.myanimelist.net/images/anime/5/86830.jpg"/>
    <m/>
    <x v="9"/>
    <m/>
  </r>
  <r>
    <n v="114"/>
    <x v="111"/>
    <x v="2"/>
    <x v="17"/>
    <x v="0"/>
    <x v="110"/>
    <d v="2022-09-26T00:00:00"/>
    <x v="7"/>
    <n v="8.3000000000000007"/>
    <n v="654321"/>
    <s v="Drama|Psychological"/>
    <n v="2"/>
    <m/>
    <s v="https://www.crunchyroll.com/series/GY5P48XEY/classroom-of-the-elite"/>
    <m/>
    <m/>
    <m/>
    <m/>
    <m/>
    <m/>
    <m/>
    <n v="1"/>
    <s v="https://cdn.myanimelist.net/images/anime/1010/124180.jpg"/>
    <m/>
    <x v="9"/>
    <m/>
  </r>
  <r>
    <n v="115"/>
    <x v="112"/>
    <x v="2"/>
    <x v="17"/>
    <x v="1"/>
    <x v="111"/>
    <s v="Ongoing"/>
    <x v="21"/>
    <m/>
    <n v="543210"/>
    <s v="Drama|Psychological"/>
    <n v="2"/>
    <m/>
    <s v="https://www.crunchyroll.com/series/GY5P48XEY/classroom-of-the-elite"/>
    <m/>
    <m/>
    <m/>
    <m/>
    <m/>
    <m/>
    <m/>
    <n v="1"/>
    <s v="https://cdn.myanimelist.net/images/anime/1332/139318.jpg"/>
    <m/>
    <x v="9"/>
    <m/>
  </r>
  <r>
    <n v="116"/>
    <x v="113"/>
    <x v="2"/>
    <x v="17"/>
    <x v="0"/>
    <x v="81"/>
    <d v="2020-09-26T00:00:00"/>
    <x v="11"/>
    <n v="7.8"/>
    <n v="543210"/>
    <s v="Action|Fantasy"/>
    <n v="2"/>
    <m/>
    <s v="https://www.crunchyroll.com/series/GY5P48XEY/the-misfit-of-demon-king-academy"/>
    <m/>
    <m/>
    <m/>
    <m/>
    <m/>
    <m/>
    <m/>
    <n v="1"/>
    <s v="https://cdn.myanimelist.net/images/anime/1126/108573.jpg"/>
    <m/>
    <x v="9"/>
    <m/>
  </r>
  <r>
    <n v="117"/>
    <x v="114"/>
    <x v="2"/>
    <x v="9"/>
    <x v="0"/>
    <x v="29"/>
    <d v="2023-04-02T00:00:00"/>
    <x v="13"/>
    <n v="8.1"/>
    <n v="432109"/>
    <s v="Action|Fantasy"/>
    <n v="2"/>
    <m/>
    <s v="https://www.crunchyroll.com/series/GY5P48XEY/the-misfit-of-demon-king-academy"/>
    <m/>
    <m/>
    <m/>
    <m/>
    <m/>
    <m/>
    <m/>
    <n v="1"/>
    <s v="https://cdn.myanimelist.net/images/anime/1369/139553.jpg"/>
    <m/>
    <x v="9"/>
    <m/>
  </r>
  <r>
    <n v="118"/>
    <x v="115"/>
    <x v="0"/>
    <x v="17"/>
    <x v="0"/>
    <x v="112"/>
    <d v="2021-04-04T00:00:00"/>
    <x v="14"/>
    <n v="8.1999999999999993"/>
    <n v="876543"/>
    <s v="Comedy|Romance|Slice of Life"/>
    <n v="3"/>
    <m/>
    <s v="https://www.crunchyroll.com/series/GY5P48XEY/horimiya"/>
    <m/>
    <m/>
    <s v="https://www.funimation.com/shows/horimiya/"/>
    <m/>
    <m/>
    <m/>
    <m/>
    <n v="2"/>
    <s v="https://cdn.myanimelist.net/images/anime/1695/111486.jpg"/>
    <m/>
    <x v="9"/>
    <m/>
  </r>
  <r>
    <n v="119"/>
    <x v="116"/>
    <x v="0"/>
    <x v="10"/>
    <x v="0"/>
    <x v="87"/>
    <d v="2015-03-20T00:00:00"/>
    <x v="20"/>
    <n v="8.6999999999999993"/>
    <n v="987654"/>
    <s v="Drama|Music|Romance"/>
    <n v="3"/>
    <s v="https://www.netflix.com/title/80050063"/>
    <s v="https://www.crunchyroll.com/series/GY5P48XEY/your-lie-in-april"/>
    <m/>
    <m/>
    <m/>
    <m/>
    <m/>
    <m/>
    <m/>
    <n v="2"/>
    <s v="https://cdn.myanimelist.net/images/anime/1405/143284.jpg"/>
    <m/>
    <x v="9"/>
    <m/>
  </r>
  <r>
    <n v="120"/>
    <x v="117"/>
    <x v="0"/>
    <x v="30"/>
    <x v="0"/>
    <x v="113"/>
    <d v="2025-02-28T00:00:00"/>
    <x v="21"/>
    <n v="7.9"/>
    <n v="932109"/>
    <s v="Action|Adventure|Comedy|Fantasy|Martial Arts|Super Power"/>
    <n v="6"/>
    <s v="https://www.netflix.com/title/81280917"/>
    <s v="https://www.crunchyroll.com/series/GY5P48XEY/dragon-ball-daima"/>
    <s v="https://www.amazon.com/Dragon-Ball-Daima-Season-1/dp/B0CQZQZQZQ"/>
    <m/>
    <m/>
    <m/>
    <m/>
    <m/>
    <m/>
    <n v="3"/>
    <s v="https://cdn.myanimelist.net/images/anime/1723/145231.jpg"/>
    <m/>
    <x v="9"/>
    <m/>
  </r>
  <r>
    <n v="121"/>
    <x v="118"/>
    <x v="6"/>
    <x v="9"/>
    <x v="1"/>
    <x v="114"/>
    <s v="Ongoing"/>
    <x v="21"/>
    <n v="8.5"/>
    <n v="987654"/>
    <s v="Action|Adventure|Fantasy"/>
    <n v="3"/>
    <m/>
    <s v="https://www.crunchyroll.com/series/GY5P48XEY/solo-leveling"/>
    <m/>
    <m/>
    <m/>
    <m/>
    <m/>
    <m/>
    <m/>
    <n v="1"/>
    <s v="https://cdn.myanimelist.net/images/anime/1801/142390.jpg"/>
    <m/>
    <x v="9"/>
    <m/>
  </r>
  <r>
    <n v="122"/>
    <x v="119"/>
    <x v="0"/>
    <x v="29"/>
    <x v="1"/>
    <x v="115"/>
    <s v="TBA"/>
    <x v="21"/>
    <n v="9"/>
    <n v="3456789"/>
    <s v="Action|Adventure|Demons|Historical|Supernatural"/>
    <n v="5"/>
    <s v="https://www.netflix.com/title/81091393"/>
    <s v="https://www.crunchyroll.com/series/GY5P48XEY/demon-slayer-kimetsu-no-yaiba"/>
    <m/>
    <s v="https://www.hulu.com/series/demon-slayer-kimetsu-no-yaiba-5b5b5b5b-5b5b-5b5b-5b5b-5b5b5b5b5b5b"/>
    <m/>
    <m/>
    <m/>
    <m/>
    <m/>
    <n v="3"/>
    <s v="https://cdn.myanimelist.net/images/anime/1565/142711.jpg"/>
    <m/>
    <x v="9"/>
    <m/>
  </r>
  <r>
    <n v="123"/>
    <x v="120"/>
    <x v="0"/>
    <x v="28"/>
    <x v="0"/>
    <x v="116"/>
    <d v="2004-10-02T00:00:00"/>
    <x v="26"/>
    <n v="8.6"/>
    <n v="1500000"/>
    <s v="Action|Adventure|Drama|Fantasy"/>
    <n v="4"/>
    <m/>
    <s v="https://www.crunchyroll.com/series/GY5P48XEY/fullmetal-alchemist"/>
    <m/>
    <s v="https://www.hulu.com/series/fullmetal-alchemist-5b5b5b5b-5b5b-5b5b-5b5b-5b5b5b5b5b5b"/>
    <s v="https://www.funimation.com/shows/fullmetal-alchemist/"/>
    <m/>
    <m/>
    <m/>
    <m/>
    <n v="3"/>
    <s v="https://cdn.myanimelist.net/images/anime/10/75815.jpg"/>
    <m/>
    <x v="9"/>
    <m/>
  </r>
  <r>
    <n v="124"/>
    <x v="121"/>
    <x v="1"/>
    <x v="31"/>
    <x v="0"/>
    <x v="117"/>
    <d v="2005-09-28T00:00:00"/>
    <x v="6"/>
    <n v="8.9"/>
    <n v="800000"/>
    <s v="Drama|Mystery|Horror|Psychological|Thriller|Seinen"/>
    <n v="6"/>
    <s v="https://www.netflix.com/title/70204970"/>
    <m/>
    <m/>
    <m/>
    <m/>
    <m/>
    <m/>
    <m/>
    <m/>
    <n v="1"/>
    <s v="https://cdn.myanimelist.net/images/anime/1648/152231.jpg"/>
    <m/>
    <x v="9"/>
    <m/>
  </r>
  <r>
    <n v="125"/>
    <x v="122"/>
    <x v="0"/>
    <x v="32"/>
    <x v="0"/>
    <x v="118"/>
    <d v="2018-10-08T00:00:00"/>
    <x v="17"/>
    <n v="9"/>
    <n v="1200000"/>
    <s v="Action|Comedy|Historical|Parody|Samurai|Sci-Fi"/>
    <n v="6"/>
    <m/>
    <s v="https://www.crunchyroll.com/series/GY5P48XEY/gintama"/>
    <m/>
    <s v="https://www.hulu.com/series/gintama-5b5b5b5b-5b5b-5b5b-5b5b-5b5b5b5b5b5b"/>
    <m/>
    <m/>
    <m/>
    <m/>
    <m/>
    <n v="2"/>
    <s v="https://cdn.myanimelist.net/images/anime/4/50361.jpg"/>
    <m/>
    <x v="9"/>
    <m/>
  </r>
  <r>
    <n v="126"/>
    <x v="123"/>
    <x v="0"/>
    <x v="33"/>
    <x v="0"/>
    <x v="119"/>
    <d v="2002-03-27T00:00:00"/>
    <x v="27"/>
    <n v="8.8000000000000007"/>
    <n v="700000"/>
    <s v="Action|Comedy|Drama|Sports"/>
    <n v="4"/>
    <m/>
    <s v="https://www.crunchyroll.com/series/GY5P48XEY/hajime-no-ippo"/>
    <m/>
    <m/>
    <m/>
    <m/>
    <m/>
    <m/>
    <m/>
    <n v="1"/>
    <s v="https://cdn.myanimelist.net/images/anime/4/86334.jpg"/>
    <m/>
    <x v="9"/>
    <m/>
  </r>
  <r>
    <n v="127"/>
    <x v="124"/>
    <x v="0"/>
    <x v="9"/>
    <x v="1"/>
    <x v="120"/>
    <s v="Ongoing"/>
    <x v="21"/>
    <n v="8.5"/>
    <n v="1234567"/>
    <s v="Action|Supernatural|Comedy|Romance"/>
    <n v="4"/>
    <m/>
    <s v="https://www.crunchyroll.com/series/GY5P48XEY/dandadan"/>
    <m/>
    <m/>
    <m/>
    <m/>
    <m/>
    <m/>
    <m/>
    <n v="1"/>
    <s v="https://cdn.myanimelist.net/images/anime/1584/143719.jpg"/>
    <m/>
    <x v="9"/>
    <m/>
  </r>
  <r>
    <n v="128"/>
    <x v="125"/>
    <x v="7"/>
    <x v="11"/>
    <x v="0"/>
    <x v="121"/>
    <d v="2024-03-22T00:00:00"/>
    <x v="13"/>
    <n v="9"/>
    <n v="1897654"/>
    <s v="Adventure|Drama|Fantasy"/>
    <n v="3"/>
    <m/>
    <s v="https://www.crunchyroll.com/series/GY5P48XEY/frieren-beyond-journeys-end"/>
    <m/>
    <m/>
    <m/>
    <m/>
    <m/>
    <m/>
    <m/>
    <n v="1"/>
    <s v="https://cdn.myanimelist.net/images/anime/1921/154528.jpg"/>
    <m/>
    <x v="9"/>
    <m/>
  </r>
  <r>
    <n v="129"/>
    <x v="126"/>
    <x v="8"/>
    <x v="9"/>
    <x v="0"/>
    <x v="122"/>
    <d v="2023-03-25T00:00:00"/>
    <x v="13"/>
    <n v="8.3000000000000007"/>
    <n v="987654"/>
    <s v="Action|Sci-Fi|Western"/>
    <n v="3"/>
    <m/>
    <s v="https://www.crunchyroll.com/series/GY5P48XEY/trigun-stampede"/>
    <m/>
    <m/>
    <m/>
    <m/>
    <m/>
    <m/>
    <m/>
    <n v="1"/>
    <s v="https://cdn.myanimelist.net/images/anime/1426/129194.jpg"/>
    <m/>
    <x v="9"/>
    <m/>
  </r>
  <r>
    <n v="130"/>
    <x v="127"/>
    <x v="8"/>
    <x v="9"/>
    <x v="0"/>
    <x v="123"/>
    <d v="2015-12-21T00:00:00"/>
    <x v="4"/>
    <n v="8.6999999999999993"/>
    <n v="4567890"/>
    <s v="Action|Comedy|Parody|Superhero|Superpower"/>
    <n v="5"/>
    <s v="https://www.netflix.com/title/80097571"/>
    <s v="https://www.crunchyroll.com/series/GY5P48XEY/one-punch-man"/>
    <m/>
    <s v="https://www.hulu.com/series/one-punch-man-5b5b5b5b-5b5b-5b5b-5b5b-5b5b5b5b5b5b"/>
    <m/>
    <m/>
    <m/>
    <m/>
    <m/>
    <n v="3"/>
    <s v="https://cdn.myanimelist.net/images/anime/1618/103829.jpg"/>
    <m/>
    <x v="9"/>
    <m/>
  </r>
  <r>
    <n v="131"/>
    <x v="128"/>
    <x v="8"/>
    <x v="9"/>
    <x v="0"/>
    <x v="124"/>
    <d v="2019-07-02T00:00:00"/>
    <x v="12"/>
    <n v="7.9"/>
    <n v="3456789"/>
    <s v="Action|Comedy|Parody|Superhero|Superpower"/>
    <n v="5"/>
    <m/>
    <s v="https://www.crunchyroll.com/series/GY5P48XEY/one-punch-man"/>
    <m/>
    <s v="https://www.hulu.com/series/one-punch-man-5b5b5b5b-5b5b-5b5b-5b5b-5b5b5b5b5b5b"/>
    <m/>
    <m/>
    <m/>
    <m/>
    <m/>
    <n v="2"/>
    <s v="https://cdn.myanimelist.net/images/anime/1247/122044.jpg"/>
    <m/>
    <x v="9"/>
    <m/>
  </r>
  <r>
    <n v="132"/>
    <x v="129"/>
    <x v="8"/>
    <x v="9"/>
    <x v="0"/>
    <x v="125"/>
    <d v="2024-06-29T00:00:00"/>
    <x v="21"/>
    <n v="8.1999999999999993"/>
    <n v="2345678"/>
    <s v="Action|Sci-Fi|Supernatural"/>
    <n v="3"/>
    <m/>
    <s v="https://www.crunchyroll.com/series/GY5P48XEY/kaiju-no-8"/>
    <m/>
    <m/>
    <m/>
    <m/>
    <m/>
    <m/>
    <m/>
    <n v="1"/>
    <s v="https://cdn.myanimelist.net/images/anime/1370/140362.jpg"/>
    <m/>
    <x v="9"/>
    <m/>
  </r>
  <r>
    <n v="133"/>
    <x v="130"/>
    <x v="9"/>
    <x v="34"/>
    <x v="0"/>
    <x v="126"/>
    <d v="1998-01-21T00:00:00"/>
    <x v="25"/>
    <n v="7.5"/>
    <n v="5678901"/>
    <s v="Adventure|Comedy|Fantasy"/>
    <n v="3"/>
    <s v="https://www.netflix.com/title/70204970"/>
    <m/>
    <m/>
    <m/>
    <m/>
    <m/>
    <m/>
    <m/>
    <s v="https://www.pokemon.com/us/pokemon-episodes/"/>
    <n v="2"/>
    <s v="https://cdn.myanimelist.net/images/anime/1904/140254.jpg"/>
    <m/>
    <x v="9"/>
    <m/>
  </r>
  <r>
    <n v="134"/>
    <x v="131"/>
    <x v="8"/>
    <x v="9"/>
    <x v="0"/>
    <x v="127"/>
    <d v="2014-09-19T00:00:00"/>
    <x v="20"/>
    <n v="8"/>
    <n v="4500000"/>
    <s v="Action|Drama|Horror|Psychological|Supernatural"/>
    <n v="5"/>
    <m/>
    <s v="https://www.crunchyroll.com/series/GY5P48XEY/tokyo-ghoul"/>
    <m/>
    <s v="https://www.hulu.com/series/tokyo-ghoul-8e7f5a1d-9f3e-4c8e-9b5a-9e9f9b9f9b9f"/>
    <s v="https://www.funimation.com/shows/tokyo-ghoul/"/>
    <m/>
    <m/>
    <m/>
    <m/>
    <n v="3"/>
    <s v="https://cdn.myanimelist.net/images/anime/1889/123307.jpg"/>
    <m/>
    <x v="9"/>
    <m/>
  </r>
  <r>
    <n v="135"/>
    <x v="132"/>
    <x v="8"/>
    <x v="9"/>
    <x v="0"/>
    <x v="128"/>
    <d v="2015-03-27T00:00:00"/>
    <x v="4"/>
    <n v="7.5"/>
    <n v="3800000"/>
    <s v="Action|Drama|Horror|Psychological|Supernatural"/>
    <n v="5"/>
    <m/>
    <s v="https://www.crunchyroll.com/series/GY5P48XEY/tokyo-ghoul"/>
    <m/>
    <s v="https://www.hulu.com/series/tokyo-ghoul-8e7f5a1d-9f3e-4c8e-9b5a-9e9f9b9f9b9f"/>
    <s v="https://www.funimation.com/shows/tokyo-ghoul/"/>
    <m/>
    <m/>
    <m/>
    <m/>
    <n v="3"/>
    <s v="https://cdn.myanimelist.net/images/anime/1889/123307.jpg"/>
    <m/>
    <x v="9"/>
    <m/>
  </r>
  <r>
    <n v="136"/>
    <x v="133"/>
    <x v="8"/>
    <x v="9"/>
    <x v="0"/>
    <x v="129"/>
    <d v="2018-06-19T00:00:00"/>
    <x v="10"/>
    <n v="7.2"/>
    <n v="3200000"/>
    <s v="Action|Drama|Horror|Psychological|Supernatural"/>
    <n v="5"/>
    <m/>
    <s v="https://www.crunchyroll.com/series/GY5P48XEY/tokyo-ghoulre"/>
    <m/>
    <m/>
    <s v="https://www.funimation.com/shows/tokyo-ghoulre/"/>
    <m/>
    <m/>
    <m/>
    <m/>
    <n v="2"/>
    <s v="https://cdn.myanimelist.net/images/anime/1545/121995.jpg"/>
    <m/>
    <x v="9"/>
    <m/>
  </r>
  <r>
    <n v="137"/>
    <x v="134"/>
    <x v="9"/>
    <x v="12"/>
    <x v="0"/>
    <x v="130"/>
    <d v="2015-03-29T00:00:00"/>
    <x v="20"/>
    <n v="8.1"/>
    <n v="5000000"/>
    <s v="Action|Adventure|Fantasy|Supernatural"/>
    <n v="4"/>
    <s v="https://www.netflix.com/title/80050063"/>
    <s v="https://www.crunchyroll.com/series/GY5P48XEY/the-seven-deadly-sins"/>
    <m/>
    <m/>
    <m/>
    <m/>
    <m/>
    <m/>
    <m/>
    <n v="2"/>
    <s v="https://cdn.myanimelist.net/images/anime/1109/145389.jpg"/>
    <m/>
    <x v="9"/>
    <m/>
  </r>
  <r>
    <n v="138"/>
    <x v="135"/>
    <x v="9"/>
    <x v="12"/>
    <x v="0"/>
    <x v="131"/>
    <d v="2018-06-30T00:00:00"/>
    <x v="10"/>
    <n v="7.8"/>
    <n v="4200000"/>
    <s v="Action|Adventure|Fantasy|Supernatural"/>
    <n v="4"/>
    <s v="https://www.netflix.com/title/80050063"/>
    <s v="https://www.crunchyroll.com/series/GY5P48XEY/the-seven-deadly-sins"/>
    <m/>
    <m/>
    <m/>
    <m/>
    <m/>
    <m/>
    <m/>
    <n v="2"/>
    <s v="https://cdn.myanimelist.net/images/anime/11/90089.jpg"/>
    <m/>
    <x v="9"/>
    <m/>
  </r>
  <r>
    <n v="139"/>
    <x v="136"/>
    <x v="9"/>
    <x v="8"/>
    <x v="0"/>
    <x v="132"/>
    <d v="2013-03-31T00:00:00"/>
    <x v="19"/>
    <n v="8.1999999999999993"/>
    <n v="3500000"/>
    <s v="Action|Adventure|Fantasy|Shounen"/>
    <n v="4"/>
    <s v="https://www.netflix.com/title/70204970"/>
    <s v="https://www.crunchyroll.com/series/GY5P48XEY/magi-the-labyrinth-of-magic"/>
    <m/>
    <m/>
    <m/>
    <m/>
    <m/>
    <m/>
    <m/>
    <n v="2"/>
    <s v="https://cdn.myanimelist.net/images/anime/11/42773.jpg"/>
    <m/>
    <x v="9"/>
    <m/>
  </r>
  <r>
    <n v="140"/>
    <x v="137"/>
    <x v="9"/>
    <x v="8"/>
    <x v="0"/>
    <x v="70"/>
    <d v="2014-03-30T00:00:00"/>
    <x v="8"/>
    <n v="8.3000000000000007"/>
    <n v="3200000"/>
    <s v="Action|Adventure|Fantasy|Shounen"/>
    <n v="4"/>
    <s v="https://www.netflix.com/title/70204970"/>
    <s v="https://www.crunchyroll.com/series/GY5P48XEY/magi-the-labyrinth-of-magic"/>
    <m/>
    <m/>
    <m/>
    <m/>
    <m/>
    <m/>
    <m/>
    <n v="2"/>
    <s v="https://cdn.myanimelist.net/images/anime/13/55039.jpg"/>
    <m/>
    <x v="9"/>
    <m/>
  </r>
  <r>
    <n v="141"/>
    <x v="138"/>
    <x v="8"/>
    <x v="35"/>
    <x v="0"/>
    <x v="133"/>
    <d v="2008-09-30T00:00:00"/>
    <x v="17"/>
    <n v="8"/>
    <n v="2800000"/>
    <s v="Action|Adventure|Drama|Fantasy|Shounen|Supernatural"/>
    <n v="6"/>
    <m/>
    <s v="https://www.crunchyroll.com/series/GYQ4MWDGY/dgray-man"/>
    <m/>
    <m/>
    <s v="https://www.funimation.com/shows/dgray-man/"/>
    <m/>
    <m/>
    <m/>
    <m/>
    <n v="2"/>
    <s v="https://cdn.myanimelist.net/images/anime/9/76469.jpg"/>
    <m/>
    <x v="9"/>
    <m/>
  </r>
  <r>
    <n v="142"/>
    <x v="139"/>
    <x v="8"/>
    <x v="17"/>
    <x v="0"/>
    <x v="134"/>
    <d v="2016-09-27T00:00:00"/>
    <x v="16"/>
    <n v="7.8"/>
    <n v="2000000"/>
    <s v="Action|Adventure|Drama|Fantasy|Shounen|Supernatural"/>
    <n v="6"/>
    <m/>
    <s v="https://www.crunchyroll.com/series/GYQ4MWDGY/dgray-man"/>
    <m/>
    <m/>
    <s v="https://www.funimation.com/shows/dgray-man-hallow/"/>
    <m/>
    <m/>
    <m/>
    <m/>
    <n v="2"/>
    <s v="https://cdn.myanimelist.net/images/anime/1448/147351.jpg"/>
    <m/>
    <x v="9"/>
    <m/>
  </r>
  <r>
    <n v="143"/>
    <x v="140"/>
    <x v="8"/>
    <x v="12"/>
    <x v="0"/>
    <x v="135"/>
    <d v="2014-12-15T00:00:00"/>
    <x v="20"/>
    <n v="7.7"/>
    <n v="4000000"/>
    <s v="Action|Adventure|Drama|Fantasy"/>
    <n v="4"/>
    <m/>
    <s v="https://www.crunchyroll.com/series/G6X3D5VZ6/akame-ga-kill"/>
    <m/>
    <s v="https://www.hulu.com/series/akame-ga-kill-8e7f5a1d-9f3e-4c8e-9b5a-9e9f9b9f9b9f"/>
    <m/>
    <m/>
    <m/>
    <m/>
    <m/>
    <n v="2"/>
    <s v="https://cdn.myanimelist.net/images/anime/1429/95946.jpg"/>
    <m/>
    <x v="9"/>
    <m/>
  </r>
  <r>
    <n v="144"/>
    <x v="141"/>
    <x v="10"/>
    <x v="13"/>
    <x v="0"/>
    <x v="136"/>
    <d v="2006-09-27T00:00:00"/>
    <x v="17"/>
    <n v="8.1"/>
    <n v="2500000"/>
    <s v="Horror|Mystery|Psychological|Supernatural|Thriller"/>
    <n v="5"/>
    <m/>
    <s v="https://www.crunchyroll.com/series/G6NQ3DW06/higurashi-when-they-cry"/>
    <m/>
    <m/>
    <m/>
    <m/>
    <m/>
    <s v="https://www.hidive.com/tv/higurashi-when-they-cry"/>
    <m/>
    <n v="2"/>
    <s v="https://cdn.myanimelist.net/images/anime/4/14113.jpg"/>
    <m/>
    <x v="9"/>
    <m/>
  </r>
  <r>
    <n v="145"/>
    <x v="142"/>
    <x v="10"/>
    <x v="12"/>
    <x v="0"/>
    <x v="137"/>
    <d v="2007-12-21T00:00:00"/>
    <x v="1"/>
    <n v="8.4"/>
    <n v="2200000"/>
    <s v="Horror|Mystery|Psychological|Supernatural|Thriller"/>
    <n v="5"/>
    <m/>
    <s v="https://www.crunchyroll.com/series/G6NQ3DW06/higurashi-when-they-cry"/>
    <m/>
    <m/>
    <m/>
    <m/>
    <m/>
    <s v="https://www.hidive.com/tv/higurashi-when-they-cry-kai"/>
    <m/>
    <n v="2"/>
    <s v="https://cdn.myanimelist.net/images/anime/12/14114.jpg"/>
    <m/>
    <x v="9"/>
    <m/>
  </r>
  <r>
    <n v="146"/>
    <x v="143"/>
    <x v="11"/>
    <x v="17"/>
    <x v="0"/>
    <x v="138"/>
    <d v="2004-05-18T00:00:00"/>
    <x v="6"/>
    <n v="8.1999999999999993"/>
    <n v="1800000"/>
    <s v="Mystery|Psychological|Supernatural|Thriller"/>
    <n v="4"/>
    <m/>
    <m/>
    <m/>
    <m/>
    <s v="https://www.funimation.com/shows/paranoia-agent/"/>
    <m/>
    <m/>
    <m/>
    <m/>
    <n v="1"/>
    <s v="https://cdn.myanimelist.net/images/anime/7/10240.jpg"/>
    <m/>
    <x v="9"/>
    <m/>
  </r>
  <r>
    <n v="147"/>
    <x v="144"/>
    <x v="12"/>
    <x v="10"/>
    <x v="0"/>
    <x v="139"/>
    <d v="2003-10-02T00:00:00"/>
    <x v="26"/>
    <n v="8"/>
    <n v="900000"/>
    <s v="Action|Drama|Psychological|Sci-Fi"/>
    <n v="4"/>
    <m/>
    <m/>
    <m/>
    <m/>
    <s v="https://www.funimation.com/shows/texhnolyze/"/>
    <m/>
    <m/>
    <m/>
    <m/>
    <n v="1"/>
    <s v="https://cdn.myanimelist.net/images/anime/1027/131977.jpg"/>
    <m/>
    <x v="9"/>
    <m/>
  </r>
  <r>
    <n v="148"/>
    <x v="145"/>
    <x v="13"/>
    <x v="22"/>
    <x v="0"/>
    <x v="136"/>
    <d v="2007-03-28T00:00:00"/>
    <x v="17"/>
    <n v="8.5"/>
    <n v="3000000"/>
    <s v="Drama|Josei|Music|Romance"/>
    <n v="4"/>
    <m/>
    <s v="https://www.crunchyroll.com/series/G6NQ3DW06/nana"/>
    <m/>
    <m/>
    <m/>
    <m/>
    <m/>
    <s v="https://www.hidive.com/tv/nana"/>
    <m/>
    <n v="2"/>
    <s v="https://cdn.myanimelist.net/images/anime/2/11232.jpg"/>
    <m/>
    <x v="9"/>
    <m/>
  </r>
  <r>
    <n v="149"/>
    <x v="146"/>
    <x v="13"/>
    <x v="14"/>
    <x v="0"/>
    <x v="140"/>
    <d v="2023-06-28T00:00:00"/>
    <x v="13"/>
    <n v="8.8000000000000007"/>
    <n v="5000000"/>
    <s v="Drama|Supernatural"/>
    <n v="2"/>
    <m/>
    <s v="https://www.crunchyroll.com/series/G4PH0WKEJ/oshi-no-ko"/>
    <m/>
    <m/>
    <m/>
    <m/>
    <m/>
    <s v="https://www.hidive.com/tv/oshi-no-ko"/>
    <m/>
    <n v="2"/>
    <s v="https://cdn.myanimelist.net/images/anime/1702/156273.jpg"/>
    <m/>
    <x v="9"/>
    <m/>
  </r>
  <r>
    <n v="150"/>
    <x v="147"/>
    <x v="9"/>
    <x v="15"/>
    <x v="0"/>
    <x v="141"/>
    <d v="2022-03-25T00:00:00"/>
    <x v="14"/>
    <n v="8.6999999999999993"/>
    <n v="4500000"/>
    <s v="Adventure|Fantasy"/>
    <n v="2"/>
    <m/>
    <s v="https://www.crunchyroll.com/series/G4PH0WKEJ/ranking-of-kings"/>
    <m/>
    <m/>
    <s v="https://www.funimation.com/shows/ranking-of-kings/"/>
    <m/>
    <m/>
    <m/>
    <m/>
    <n v="2"/>
    <s v="https://cdn.myanimelist.net/images/anime/1347/117616.jpg"/>
    <m/>
    <x v="9"/>
    <m/>
  </r>
  <r>
    <n v="151"/>
    <x v="148"/>
    <x v="13"/>
    <x v="12"/>
    <x v="0"/>
    <x v="142"/>
    <d v="2009-03-27T00:00:00"/>
    <x v="22"/>
    <n v="9"/>
    <n v="3500000"/>
    <s v="Drama|Romance|Slice of Life|Supernatural"/>
    <n v="4"/>
    <m/>
    <s v="https://www.crunchyroll.com/series/G6NQ3DW06/clannad-after-story"/>
    <m/>
    <m/>
    <m/>
    <m/>
    <m/>
    <s v="https://www.hidive.com/tv/clannad-after-story"/>
    <m/>
    <n v="2"/>
    <s v="https://cdn.myanimelist.net/images/anime/1299/110774.jpg"/>
    <m/>
    <x v="9"/>
    <m/>
  </r>
  <r>
    <n v="152"/>
    <x v="149"/>
    <x v="13"/>
    <x v="8"/>
    <x v="0"/>
    <x v="15"/>
    <d v="2019-09-21T00:00:00"/>
    <x v="12"/>
    <n v="8.5"/>
    <n v="4000000"/>
    <s v="Comedy|Drama|Romance|Shoujo|Supernatural"/>
    <n v="5"/>
    <m/>
    <s v="https://www.crunchyroll.com/series/G6NQ3DW06/fruits-basket-1st-season"/>
    <m/>
    <m/>
    <s v="https://www.funimation.com/shows/fruits-basket/"/>
    <m/>
    <m/>
    <m/>
    <m/>
    <n v="2"/>
    <s v="https://cdn.myanimelist.net/images/anime/1972/111635.jpg"/>
    <m/>
    <x v="9"/>
    <m/>
  </r>
  <r>
    <n v="153"/>
    <x v="150"/>
    <x v="13"/>
    <x v="17"/>
    <x v="0"/>
    <x v="143"/>
    <d v="2021-06-29T00:00:00"/>
    <x v="14"/>
    <n v="9.1"/>
    <n v="3800000"/>
    <s v="Drama|Romance|Shoujo|Supernatural"/>
    <n v="4"/>
    <m/>
    <s v="https://www.crunchyroll.com/series/G6NQ3DW06/fruits-basket-the-final-season"/>
    <m/>
    <m/>
    <s v="https://www.funimation.com/shows/fruits-basket-the-final-season/"/>
    <m/>
    <m/>
    <m/>
    <m/>
    <n v="2"/>
    <s v="https://cdn.myanimelist.net/images/anime/1085/114792.jpg"/>
    <m/>
    <x v="9"/>
    <m/>
  </r>
  <r>
    <n v="154"/>
    <x v="151"/>
    <x v="13"/>
    <x v="14"/>
    <x v="0"/>
    <x v="144"/>
    <d v="2011-06-24T00:00:00"/>
    <x v="15"/>
    <n v="8.4"/>
    <n v="3000000"/>
    <s v="Drama|Supernatural"/>
    <n v="2"/>
    <s v="https://www.netflix.com/title/70262856"/>
    <s v="https://www.crunchyroll.com/series/G6NQ3DW06/anohana-the-flower-we-saw-that-day"/>
    <m/>
    <m/>
    <m/>
    <m/>
    <m/>
    <m/>
    <m/>
    <n v="2"/>
    <s v="https://cdn.myanimelist.net/images/anime/5/79697.jpg"/>
    <m/>
    <x v="9"/>
    <m/>
  </r>
  <r>
    <n v="155"/>
    <x v="152"/>
    <x v="1"/>
    <x v="17"/>
    <x v="0"/>
    <x v="145"/>
    <d v="2018-04-05T00:00:00"/>
    <x v="10"/>
    <n v="8.9"/>
    <n v="4200000"/>
    <s v="Drama|Fantasy|Slice of Life"/>
    <n v="3"/>
    <s v="https://www.netflix.com/in/title/80182123"/>
    <m/>
    <m/>
    <m/>
    <m/>
    <m/>
    <m/>
    <m/>
    <m/>
    <n v="1"/>
    <s v="https://cdn.myanimelist.net/images/anime/1795/95088.jpg"/>
    <m/>
    <x v="9"/>
    <m/>
  </r>
  <r>
    <n v="156"/>
    <x v="153"/>
    <x v="1"/>
    <x v="27"/>
    <x v="0"/>
    <x v="146"/>
    <s v="Ongoing"/>
    <x v="7"/>
    <n v="8.5"/>
    <n v="3500000"/>
    <s v="Action|Sci-Fi|Cyberpunk"/>
    <n v="3"/>
    <s v="https://www.netflix.com/title/81054853"/>
    <m/>
    <m/>
    <m/>
    <m/>
    <m/>
    <m/>
    <m/>
    <m/>
    <n v="1"/>
    <s v="https://cdn.myanimelist.net/images/anime/1818/126435.jpg"/>
    <m/>
    <x v="9"/>
    <m/>
  </r>
  <r>
    <n v="157"/>
    <x v="154"/>
    <x v="1"/>
    <x v="9"/>
    <x v="0"/>
    <x v="147"/>
    <d v="2007-08-23T00:00:00"/>
    <x v="1"/>
    <n v="7.2"/>
    <n v="1200000"/>
    <s v="Action|Fantasy|Supernatural"/>
    <n v="3"/>
    <m/>
    <s v="https://www.crunchyroll.com/devil-may-cry"/>
    <m/>
    <m/>
    <m/>
    <m/>
    <m/>
    <m/>
    <m/>
    <n v="1"/>
    <s v="https://cdn.myanimelist.net/images/anime/4/26417.jpg"/>
    <m/>
    <x v="9"/>
    <m/>
  </r>
  <r>
    <n v="158"/>
    <x v="155"/>
    <x v="1"/>
    <x v="36"/>
    <x v="0"/>
    <x v="148"/>
    <d v="2021-11-20T00:00:00"/>
    <x v="14"/>
    <n v="9.1"/>
    <n v="5000000"/>
    <s v="Action|Drama|Fantasy"/>
    <n v="3"/>
    <s v="https://www.netflix.com/title/81435684"/>
    <m/>
    <m/>
    <m/>
    <m/>
    <m/>
    <m/>
    <m/>
    <m/>
    <n v="1"/>
    <s v="https://cdn.myanimelist.net/images/anime/9/39495.jpg"/>
    <m/>
    <x v="9"/>
    <m/>
  </r>
  <r>
    <n v="159"/>
    <x v="156"/>
    <x v="14"/>
    <x v="37"/>
    <x v="1"/>
    <x v="149"/>
    <s v="Ongoing"/>
    <x v="9"/>
    <n v="6.5"/>
    <n v="4500000"/>
    <s v="Action|Adventure|Comedy"/>
    <n v="3"/>
    <m/>
    <s v="https://www.crunchyroll.com/boruto-naruto-next-generations"/>
    <m/>
    <m/>
    <m/>
    <m/>
    <m/>
    <m/>
    <m/>
    <n v="1"/>
    <s v="https://cdn.myanimelist.net/images/anime/1091/99847.jpg"/>
    <m/>
    <x v="9"/>
    <m/>
  </r>
  <r>
    <n v="160"/>
    <x v="157"/>
    <x v="14"/>
    <x v="12"/>
    <x v="0"/>
    <x v="142"/>
    <d v="2009-03-27T00:00:00"/>
    <x v="22"/>
    <n v="8"/>
    <n v="2800000"/>
    <s v="Action|Comedy|Supernatural"/>
    <n v="3"/>
    <s v="https://www.netflix.com/title/80097353"/>
    <s v="https://www.crunchyroll.com/black-butler"/>
    <m/>
    <m/>
    <m/>
    <m/>
    <m/>
    <m/>
    <m/>
    <n v="2"/>
    <s v="https://cdn.myanimelist.net/images/anime/1467/137783.jpg"/>
    <m/>
    <x v="9"/>
    <m/>
  </r>
  <r>
    <n v="161"/>
    <x v="158"/>
    <x v="1"/>
    <x v="23"/>
    <x v="0"/>
    <x v="150"/>
    <s v="Ongoing"/>
    <x v="26"/>
    <n v="8.3000000000000007"/>
    <n v="1800000"/>
    <s v="Action|Crime|Drama"/>
    <n v="3"/>
    <m/>
    <m/>
    <s v="https://www.amazon.com/Kill-Bill-Vol-1/dp/B000I9W4TQ"/>
    <m/>
    <m/>
    <m/>
    <m/>
    <m/>
    <m/>
    <n v="1"/>
    <s v="https://cdn.myanimelist.net/images/anime/1854/112817.jpg"/>
    <m/>
    <x v="9"/>
    <m/>
  </r>
  <r>
    <n v="162"/>
    <x v="159"/>
    <x v="1"/>
    <x v="23"/>
    <x v="0"/>
    <x v="151"/>
    <s v="Ongoing"/>
    <x v="25"/>
    <n v="8.6999999999999993"/>
    <n v="1500000"/>
    <s v="Drama|Horror|Psychological"/>
    <n v="3"/>
    <m/>
    <m/>
    <s v="https://www.amazon.com/Perfect-Blub-Satoko-Kon/dp/B000I2J6F8"/>
    <m/>
    <m/>
    <m/>
    <m/>
    <m/>
    <m/>
    <n v="1"/>
    <s v="https://cdn.myanimelist.net/images/anime/1254/134212.jpg"/>
    <m/>
    <x v="9"/>
    <m/>
  </r>
  <r>
    <n v="163"/>
    <x v="160"/>
    <x v="1"/>
    <x v="13"/>
    <x v="0"/>
    <x v="152"/>
    <d v="2005-03-19T00:00:00"/>
    <x v="6"/>
    <n v="8.5"/>
    <n v="1100000"/>
    <s v="Action|Adventure|Comedy|Historical|Samurai"/>
    <n v="5"/>
    <m/>
    <s v="https://www.crunchyroll.com/series/GY5P4MQJY/samurai-champloo"/>
    <m/>
    <s v="https://www.hulu.com/series/samurai-champloo-76cd2e5a-9fd8-4ffc-917e-8a9b1b3d5ad8"/>
    <s v="https://www.funimation.com/shows/samurai-champloo/"/>
    <m/>
    <m/>
    <m/>
    <m/>
    <n v="3"/>
    <s v="https://cdn.myanimelist.net/images/anime/1370/135212.jpg"/>
    <m/>
    <x v="9"/>
    <m/>
  </r>
  <r>
    <n v="164"/>
    <x v="161"/>
    <x v="1"/>
    <x v="13"/>
    <x v="0"/>
    <x v="153"/>
    <d v="1998-10-01T00:00:00"/>
    <x v="23"/>
    <n v="8.1999999999999993"/>
    <n v="950000"/>
    <s v="Action|Adventure|Comedy|Sci-Fi|Western"/>
    <n v="5"/>
    <m/>
    <s v="https://www.crunchyroll.com/series/G6JQ8JX5Y/trigun"/>
    <m/>
    <m/>
    <s v="https://www.funimation.com/shows/trigun/"/>
    <m/>
    <m/>
    <m/>
    <m/>
    <n v="2"/>
    <s v="https://cdn.myanimelist.net/images/anime/1130/120002.jpg"/>
    <m/>
    <x v="9"/>
    <m/>
  </r>
  <r>
    <n v="165"/>
    <x v="162"/>
    <x v="4"/>
    <x v="23"/>
    <x v="0"/>
    <x v="154"/>
    <d v="1988-07-16T00:00:00"/>
    <x v="28"/>
    <n v="8.1"/>
    <n v="1300000"/>
    <s v="Action|Horror|Psychological|Sci-Fi|Supernatural"/>
    <n v="5"/>
    <s v="https://www.netflix.com/title/60003061"/>
    <s v="https://www.crunchyroll.com/movies/akira"/>
    <m/>
    <s v="https://www.hulu.com/movie/akira-92f10992-2079-4b2a-9b36-4b41f6c4e3f2"/>
    <s v="https://www.funimation.com/movies/akira/"/>
    <m/>
    <m/>
    <m/>
    <m/>
    <n v="4"/>
    <s v="https://cdn.myanimelist.net/images/anime/1408/114012.jpg"/>
    <m/>
    <x v="9"/>
    <m/>
  </r>
  <r>
    <n v="166"/>
    <x v="163"/>
    <x v="4"/>
    <x v="23"/>
    <x v="0"/>
    <x v="155"/>
    <d v="2001-07-20T00:00:00"/>
    <x v="29"/>
    <n v="8.8000000000000007"/>
    <n v="2000000"/>
    <s v="Adventure|Fantasy|Supernatural"/>
    <n v="3"/>
    <s v="https://www.netflix.com/title/60023642"/>
    <m/>
    <m/>
    <m/>
    <m/>
    <m/>
    <s v="https://play.hbomax.com/feature/urn:hbo:feature:GYDqWkgK9NMNljgEAAAAC"/>
    <m/>
    <m/>
    <n v="2"/>
    <s v="https://cdn.myanimelist.net/images/anime/6/79597.jpg"/>
    <m/>
    <x v="9"/>
    <m/>
  </r>
  <r>
    <n v="167"/>
    <x v="164"/>
    <x v="4"/>
    <x v="23"/>
    <x v="0"/>
    <x v="156"/>
    <d v="1997-07-12T00:00:00"/>
    <x v="25"/>
    <n v="8.6999999999999993"/>
    <n v="1800000"/>
    <s v="Action|Adventure|Drama|Fantasy|Historical"/>
    <n v="5"/>
    <s v="https://www.netflix.com/title/60023643"/>
    <m/>
    <m/>
    <m/>
    <m/>
    <m/>
    <s v="https://play.hbomax.com/feature/urn:hbo:feature:GX7sQwQcN5MNljgEAAAAD"/>
    <m/>
    <m/>
    <n v="2"/>
    <s v="https://cdn.myanimelist.net/images/anime/1355/147277.jpg"/>
    <m/>
    <x v="9"/>
    <m/>
  </r>
  <r>
    <n v="168"/>
    <x v="165"/>
    <x v="4"/>
    <x v="23"/>
    <x v="0"/>
    <x v="157"/>
    <d v="1995-11-18T00:00:00"/>
    <x v="24"/>
    <n v="8.3000000000000007"/>
    <n v="1000000"/>
    <s v="Action|Mecha|Psychological|Sci-Fi"/>
    <n v="4"/>
    <m/>
    <m/>
    <s v="https://www.amazon.com/Ghost-Shell-Mamoru-Oshii/dp/B004W0JJCQ"/>
    <m/>
    <s v="https://www.funimation.com/movies/ghost-in-the-shell/"/>
    <m/>
    <m/>
    <m/>
    <m/>
    <n v="2"/>
    <s v="https://cdn.myanimelist.net/images/anime/10/82594.jpg"/>
    <m/>
    <x v="9"/>
    <m/>
  </r>
  <r>
    <n v="169"/>
    <x v="166"/>
    <x v="1"/>
    <x v="13"/>
    <x v="0"/>
    <x v="158"/>
    <d v="2003-10-01T00:00:00"/>
    <x v="0"/>
    <n v="8.5"/>
    <n v="750000"/>
    <s v="Action|Mecha|Mystery|Sci-Fi"/>
    <n v="4"/>
    <s v="https://www.netflix.com/title/70205011"/>
    <m/>
    <m/>
    <s v="https://www.hulu.com/series/ghost-in-the-shell-stand-alone-complex-0a0d5b96-51bf-4a77-aac1-79dcc22e8d27"/>
    <s v="https://www.funimation.com/shows/ghost-in-the-shell-stand-alone-complex/"/>
    <m/>
    <m/>
    <m/>
    <m/>
    <n v="3"/>
    <s v="https://cdn.myanimelist.net/images/anime/11/50857.jpg"/>
    <m/>
    <x v="9"/>
    <m/>
  </r>
  <r>
    <n v="170"/>
    <x v="167"/>
    <x v="1"/>
    <x v="38"/>
    <x v="0"/>
    <x v="159"/>
    <d v="2007-09-30T00:00:00"/>
    <x v="1"/>
    <n v="8.6"/>
    <n v="1400000"/>
    <s v="Action|Adventure|Comedy|Mecha|Sci-Fi"/>
    <n v="5"/>
    <s v="https://www.netflix.com/title/70204973"/>
    <s v="https://www.crunchyroll.com/series/GYGG2GV96/gurren-lagann"/>
    <m/>
    <s v="https://www.hulu.com/series/gurren-lagann-3a6f4d60-5bad-406b-a55c-8b44e5e0d8f2"/>
    <s v="https://www.funimation.com/shows/gurren-lagann/"/>
    <m/>
    <m/>
    <m/>
    <m/>
    <n v="4"/>
    <s v="https://cdn.myanimelist.net/images/anime/4/5123.jpg"/>
    <m/>
    <x v="9"/>
    <m/>
  </r>
  <r>
    <n v="171"/>
    <x v="168"/>
    <x v="3"/>
    <x v="12"/>
    <x v="0"/>
    <x v="160"/>
    <d v="2014-03-28T00:00:00"/>
    <x v="8"/>
    <n v="8"/>
    <n v="1100000"/>
    <s v="Action|Comedy|Ecchi|Super Power"/>
    <n v="4"/>
    <m/>
    <s v="https://www.crunchyroll.com/series/GR751KNZY/kill-la-kill"/>
    <m/>
    <s v="https://www.hulu.com/series/kill-la-kill-0a3a2e36-7b5b-4e18-8ba0-8b5c464c6a1f"/>
    <s v="https://www.funimation.com/shows/kill-la-kill/"/>
    <m/>
    <m/>
    <m/>
    <m/>
    <n v="3"/>
    <s v="https://cdn.myanimelist.net/images/anime/1464/111943.jpg"/>
    <m/>
    <x v="9"/>
    <m/>
  </r>
  <r>
    <n v="172"/>
    <x v="169"/>
    <x v="3"/>
    <x v="39"/>
    <x v="0"/>
    <x v="161"/>
    <d v="2001-03-16T00:00:00"/>
    <x v="27"/>
    <n v="8.1"/>
    <n v="700000"/>
    <s v="Action|Comedy|Mecha|Sci-Fi"/>
    <n v="4"/>
    <m/>
    <s v="https://www.crunchyroll.com/series/G49V41J56/flcl"/>
    <m/>
    <m/>
    <s v="https://www.funimation.com/shows/flcl/"/>
    <m/>
    <m/>
    <m/>
    <m/>
    <n v="2"/>
    <s v="https://cdn.myanimelist.net/images/anime/7/77356.jpg"/>
    <m/>
    <x v="9"/>
    <m/>
  </r>
  <r>
    <n v="173"/>
    <x v="170"/>
    <x v="1"/>
    <x v="17"/>
    <x v="0"/>
    <x v="162"/>
    <d v="2007-11-02T00:00:00"/>
    <x v="1"/>
    <n v="8.4"/>
    <n v="650000"/>
    <s v="Action|Comedy|Historical|Mystery|Supernatural"/>
    <n v="5"/>
    <m/>
    <s v="https://www.crunchyroll.com/series/GDKHZEP4Y/baccano"/>
    <m/>
    <m/>
    <s v="https://www.funimation.com/shows/baccano/"/>
    <m/>
    <m/>
    <m/>
    <m/>
    <n v="2"/>
    <s v="https://cdn.myanimelist.net/images/anime/3/14547.jpg"/>
    <m/>
    <x v="9"/>
    <m/>
  </r>
  <r>
    <n v="174"/>
    <x v="171"/>
    <x v="1"/>
    <x v="12"/>
    <x v="0"/>
    <x v="163"/>
    <d v="2010-06-25T00:00:00"/>
    <x v="30"/>
    <n v="8.1"/>
    <n v="900000"/>
    <s v="Action|Comedy|Mystery|Supernatural"/>
    <n v="4"/>
    <m/>
    <s v="https://www.crunchyroll.com/series/GYGG1JE9Y/durarara"/>
    <m/>
    <s v="https://www.hulu.com/series/durarara-3f8c2c59-0151-41e1-ba71-88e8e3c4b3f5"/>
    <s v="https://www.funimation.com/shows/durarara/"/>
    <m/>
    <m/>
    <m/>
    <m/>
    <n v="3"/>
    <s v="https://cdn.myanimelist.net/images/anime/10/71772.jpg"/>
    <m/>
    <x v="9"/>
    <m/>
  </r>
  <r>
    <n v="175"/>
    <x v="172"/>
    <x v="3"/>
    <x v="17"/>
    <x v="0"/>
    <x v="164"/>
    <d v="2010-06-26T00:00:00"/>
    <x v="30"/>
    <n v="8"/>
    <n v="1200000"/>
    <s v="Action|Comedy|Drama|Supernatural"/>
    <n v="4"/>
    <s v="https://www.netflix.com/title/70204983"/>
    <s v="https://www.crunchyroll.com/series/GYGG1JE9Y/angel-beats"/>
    <m/>
    <m/>
    <s v="https://www.funimation.com/shows/angel-beats/"/>
    <m/>
    <m/>
    <m/>
    <m/>
    <n v="3"/>
    <s v="https://cdn.myanimelist.net/images/anime/1244/111115.jpg"/>
    <m/>
    <x v="9"/>
    <m/>
  </r>
  <r>
    <n v="176"/>
    <x v="173"/>
    <x v="2"/>
    <x v="8"/>
    <x v="0"/>
    <x v="165"/>
    <d v="2009-03-26T00:00:00"/>
    <x v="22"/>
    <n v="8.3000000000000007"/>
    <n v="1000000"/>
    <s v="Comedy|Drama|Romance|Slice of Life"/>
    <n v="4"/>
    <s v="https://www.netflix.com/title/80049276"/>
    <s v="https://www.crunchyroll.com/series/G63K8G9VY/toradora"/>
    <m/>
    <m/>
    <m/>
    <m/>
    <m/>
    <m/>
    <m/>
    <n v="2"/>
    <s v="https://cdn.myanimelist.net/images/anime/13/22128.jpg"/>
    <m/>
    <x v="9"/>
    <m/>
  </r>
  <r>
    <n v="177"/>
    <x v="174"/>
    <x v="15"/>
    <x v="15"/>
    <x v="0"/>
    <x v="166"/>
    <d v="2008-03-21T00:00:00"/>
    <x v="1"/>
    <n v="8.1999999999999993"/>
    <n v="850000"/>
    <s v="Comedy|Drama|Romance|Slice of Life|Supernatural"/>
    <n v="5"/>
    <m/>
    <s v="https://www.crunchyroll.com/series/GR751KNZY/clannad"/>
    <m/>
    <m/>
    <m/>
    <m/>
    <m/>
    <s v="https://www.hidive.com/tv/clannad"/>
    <m/>
    <n v="2"/>
    <s v="https://cdn.myanimelist.net/images/anime/1804/95033.jpg"/>
    <m/>
    <x v="9"/>
    <m/>
  </r>
  <r>
    <n v="178"/>
    <x v="175"/>
    <x v="2"/>
    <x v="10"/>
    <x v="0"/>
    <x v="167"/>
    <d v="2012-09-17T00:00:00"/>
    <x v="19"/>
    <n v="8.1999999999999993"/>
    <n v="750000"/>
    <s v="Mystery|Slice of Life"/>
    <n v="2"/>
    <m/>
    <s v="https://www.crunchyroll.com/series/G6P8QK3JY/hyouka"/>
    <m/>
    <m/>
    <s v="https://www.funimation.com/shows/hyouka/"/>
    <m/>
    <m/>
    <m/>
    <m/>
    <n v="2"/>
    <s v="https://cdn.myanimelist.net/images/anime/13/50521.jpg"/>
    <m/>
    <x v="9"/>
    <m/>
  </r>
  <r>
    <n v="179"/>
    <x v="176"/>
    <x v="1"/>
    <x v="13"/>
    <x v="0"/>
    <x v="168"/>
    <d v="2011-09-25T00:00:00"/>
    <x v="15"/>
    <n v="8.4"/>
    <n v="800000"/>
    <s v="Comedy|Slice of Life"/>
    <n v="2"/>
    <m/>
    <s v="https://www.crunchyroll.com/series/GY5VKXJ4Y/nichijou"/>
    <m/>
    <m/>
    <s v="https://www.funimation.com/shows/nichijou/"/>
    <m/>
    <m/>
    <m/>
    <m/>
    <n v="2"/>
    <s v="https://cdn.myanimelist.net/images/anime/3/75617.jpg"/>
    <m/>
    <x v="9"/>
    <m/>
  </r>
  <r>
    <n v="180"/>
    <x v="177"/>
    <x v="0"/>
    <x v="12"/>
    <x v="0"/>
    <x v="169"/>
    <d v="2007-09-16T00:00:00"/>
    <x v="1"/>
    <n v="7.7"/>
    <n v="700000"/>
    <s v="Comedy|Slice of Life"/>
    <n v="2"/>
    <m/>
    <s v="https://www.crunchyroll.com/series/GR751KNZY/lucky-star"/>
    <m/>
    <m/>
    <s v="https://www.funimation.com/shows/lucky-star/"/>
    <m/>
    <m/>
    <m/>
    <m/>
    <n v="2"/>
    <s v="https://cdn.myanimelist.net/images/anime/1561/115660.jpg"/>
    <m/>
    <x v="9"/>
    <m/>
  </r>
  <r>
    <n v="181"/>
    <x v="178"/>
    <x v="2"/>
    <x v="40"/>
    <x v="0"/>
    <x v="170"/>
    <d v="2006-07-03T00:00:00"/>
    <x v="17"/>
    <n v="7.8"/>
    <n v="1000000"/>
    <s v="Comedy|Mystery|Sci-Fi|Supernatural"/>
    <n v="4"/>
    <m/>
    <s v="https://www.crunchyroll.com/series/GYGG1JE9Y/the-melancholy-of-haruhi-suzumiya"/>
    <m/>
    <m/>
    <s v="https://www.funimation.com/shows/the-melancholy-of-haruhi-suzumiya/"/>
    <m/>
    <m/>
    <m/>
    <m/>
    <n v="2"/>
    <s v="https://cdn.myanimelist.net/images/anime/1470/137929.jpg"/>
    <m/>
    <x v="9"/>
    <m/>
  </r>
  <r>
    <n v="182"/>
    <x v="179"/>
    <x v="1"/>
    <x v="17"/>
    <x v="0"/>
    <x v="171"/>
    <d v="2009-06-26T00:00:00"/>
    <x v="18"/>
    <n v="7.9"/>
    <n v="900000"/>
    <s v="Comedy|Music|Slice of Life"/>
    <n v="3"/>
    <m/>
    <s v="https://www.crunchyroll.com/series/GXJHM3KJY/k-on"/>
    <m/>
    <m/>
    <m/>
    <m/>
    <m/>
    <s v="https://www.hidive.com/tv/k-on"/>
    <m/>
    <n v="2"/>
    <s v="https://cdn.myanimelist.net/images/anime/10/76120.jpg"/>
    <m/>
    <x v="9"/>
    <m/>
  </r>
  <r>
    <n v="183"/>
    <x v="180"/>
    <x v="4"/>
    <x v="23"/>
    <x v="0"/>
    <x v="172"/>
    <d v="2016-09-17T00:00:00"/>
    <x v="16"/>
    <n v="8.9"/>
    <n v="1600000"/>
    <s v="Drama|Romance|Slice of Life"/>
    <n v="3"/>
    <s v="https://www.netflix.com/title/80171362"/>
    <m/>
    <s v="https://www.amazon.com/Silent-Voice-Saori-Hayami/dp/B01M5HY9ZG"/>
    <m/>
    <m/>
    <m/>
    <m/>
    <m/>
    <m/>
    <n v="2"/>
    <s v="https://cdn.myanimelist.net/images/anime/1122/96435.jpg"/>
    <m/>
    <x v="9"/>
    <m/>
  </r>
  <r>
    <n v="184"/>
    <x v="181"/>
    <x v="4"/>
    <x v="23"/>
    <x v="0"/>
    <x v="173"/>
    <d v="2016-08-26T00:00:00"/>
    <x v="16"/>
    <n v="8.9"/>
    <n v="2200000"/>
    <s v="Drama|Romance|Supernatural"/>
    <n v="3"/>
    <s v="https://www.netflix.com/title/80161371"/>
    <s v="https://www.crunchyroll.com/movies/your-name"/>
    <m/>
    <m/>
    <m/>
    <m/>
    <m/>
    <m/>
    <m/>
    <n v="2"/>
    <s v="https://cdn.myanimelist.net/images/anime/5/87048.jpg"/>
    <m/>
    <x v="9"/>
    <m/>
  </r>
  <r>
    <n v="185"/>
    <x v="182"/>
    <x v="4"/>
    <x v="23"/>
    <x v="0"/>
    <x v="174"/>
    <d v="2019-07-19T00:00:00"/>
    <x v="12"/>
    <n v="8.3000000000000007"/>
    <n v="1200000"/>
    <s v="Drama|Romance|Supernatural"/>
    <n v="3"/>
    <m/>
    <s v="https://www.crunchyroll.com/movies/weathering-with-you"/>
    <m/>
    <m/>
    <m/>
    <m/>
    <s v="https://play.hbomax.com/feature/urn:hbo:feature:GX9s2wAjq9MNljgEAAAEV"/>
    <m/>
    <m/>
    <n v="2"/>
    <s v="https://cdn.myanimelist.net/images/anime/1880/101146.jpg"/>
    <m/>
    <x v="9"/>
    <m/>
  </r>
  <r>
    <n v="186"/>
    <x v="183"/>
    <x v="4"/>
    <x v="23"/>
    <x v="0"/>
    <x v="175"/>
    <d v="2007-03-03T00:00:00"/>
    <x v="1"/>
    <n v="7.8"/>
    <n v="800000"/>
    <s v="Drama|Romance"/>
    <n v="2"/>
    <s v="https://www.netflix.com/title/70204974"/>
    <s v="https://www.crunchyroll.com/movies/5-centimeters-per-second"/>
    <m/>
    <m/>
    <m/>
    <m/>
    <m/>
    <m/>
    <m/>
    <n v="2"/>
    <s v="https://cdn.myanimelist.net/images/anime/1410/112994.jpg"/>
    <m/>
    <x v="9"/>
    <m/>
  </r>
  <r>
    <n v="187"/>
    <x v="184"/>
    <x v="4"/>
    <x v="23"/>
    <x v="0"/>
    <x v="176"/>
    <d v="1988-04-16T00:00:00"/>
    <x v="28"/>
    <n v="8.5"/>
    <n v="900000"/>
    <s v="Drama|Historical"/>
    <n v="2"/>
    <s v="https://www.netflix.com/title/60023645"/>
    <m/>
    <m/>
    <m/>
    <m/>
    <m/>
    <s v="https://play.hbomax.com/feature/urn:hbo:feature:GX0U9fwp9MNljgEAAAAC"/>
    <m/>
    <m/>
    <n v="2"/>
    <s v="https://cdn.myanimelist.net/images/anime/1485/141208.jpg"/>
    <m/>
    <x v="9"/>
    <m/>
  </r>
  <r>
    <n v="188"/>
    <x v="185"/>
    <x v="4"/>
    <x v="23"/>
    <x v="0"/>
    <x v="177"/>
    <d v="2004-11-20T00:00:00"/>
    <x v="6"/>
    <n v="8.6"/>
    <n v="1700000"/>
    <s v="Adventure|Drama|Fantasy|Romance"/>
    <n v="4"/>
    <s v="https://www.netflix.com/title/60023644"/>
    <m/>
    <m/>
    <m/>
    <m/>
    <m/>
    <s v="https://play.hbomax.com/feature/urn:hbo:feature:GX0RxhwJ9MNljgEAAAAB"/>
    <m/>
    <m/>
    <n v="2"/>
    <s v="https://cdn.myanimelist.net/images/anime/1470/138723.jpg"/>
    <m/>
    <x v="9"/>
    <m/>
  </r>
  <r>
    <n v="189"/>
    <x v="186"/>
    <x v="4"/>
    <x v="23"/>
    <x v="0"/>
    <x v="176"/>
    <d v="1988-04-16T00:00:00"/>
    <x v="28"/>
    <n v="8.3000000000000007"/>
    <n v="1500000"/>
    <s v="Adventure|Fantasy|Slice of Life"/>
    <n v="3"/>
    <s v="https://www.netflix.com/title/60023647"/>
    <m/>
    <m/>
    <m/>
    <m/>
    <m/>
    <s v="https://play.hbomax.com/feature/urn:hbo:feature:GX0RoIAJ9MNljgEAAAAB"/>
    <m/>
    <m/>
    <n v="2"/>
    <s v="https://cdn.myanimelist.net/images/anime/1110/147278.jpg"/>
    <m/>
    <x v="9"/>
    <m/>
  </r>
  <r>
    <n v="190"/>
    <x v="187"/>
    <x v="2"/>
    <x v="9"/>
    <x v="0"/>
    <x v="178"/>
    <d v="2018-07-01T00:00:00"/>
    <x v="10"/>
    <n v="7.3"/>
    <n v="600000"/>
    <s v="Action|Fantasy|Game|Sci-Fi"/>
    <n v="4"/>
    <m/>
    <s v="https://www.crunchyroll.com/series/GR751KNZY/sword-art-online-alternative-gun-gale-online"/>
    <m/>
    <m/>
    <s v="https://www.funimation.com/shows/sword-art-online-alternative-gun-gale-online/"/>
    <m/>
    <m/>
    <m/>
    <m/>
    <n v="2"/>
    <s v="https://cdn.myanimelist.net/images/anime/1141/93288.jpg"/>
    <m/>
    <x v="9"/>
    <m/>
  </r>
  <r>
    <n v="191"/>
    <x v="188"/>
    <x v="2"/>
    <x v="17"/>
    <x v="0"/>
    <x v="179"/>
    <d v="2011-12-24T00:00:00"/>
    <x v="15"/>
    <n v="8.4"/>
    <n v="1100000"/>
    <s v="Action|Fantasy|Supernatural|Thriller"/>
    <n v="4"/>
    <s v="https://www.netflix.com/title/80049978"/>
    <s v="https://www.crunchyroll.com/series/GR751KNZY/fatezero"/>
    <m/>
    <m/>
    <m/>
    <m/>
    <m/>
    <m/>
    <m/>
    <n v="2"/>
    <s v="https://cdn.myanimelist.net/images/anime/1887/117644.jpg"/>
    <m/>
    <x v="9"/>
    <m/>
  </r>
  <r>
    <n v="192"/>
    <x v="189"/>
    <x v="15"/>
    <x v="13"/>
    <x v="0"/>
    <x v="130"/>
    <d v="2015-12-27T00:00:00"/>
    <x v="20"/>
    <n v="8.1999999999999993"/>
    <n v="900000"/>
    <s v="Action|Fantasy|Supernatural"/>
    <n v="3"/>
    <s v="https://www.netflix.com/title/80049375"/>
    <s v="https://www.crunchyroll.com/series/GR751KNZY/fatestay-night-unlimited-blade-works"/>
    <m/>
    <m/>
    <m/>
    <m/>
    <m/>
    <m/>
    <m/>
    <n v="2"/>
    <s v="https://cdn.myanimelist.net/images/anime/12/67333.jpg"/>
    <m/>
    <x v="9"/>
    <m/>
  </r>
  <r>
    <n v="193"/>
    <x v="190"/>
    <x v="1"/>
    <x v="9"/>
    <x v="0"/>
    <x v="180"/>
    <d v="2019-03-30T00:00:00"/>
    <x v="12"/>
    <n v="8.4"/>
    <n v="1300000"/>
    <s v="Comedy|Romance|School|Psychological"/>
    <n v="4"/>
    <m/>
    <s v="https://www.crunchyroll.com/series/G6P5WJX4Y/kaguya-sama-love-is-war"/>
    <m/>
    <m/>
    <s v="https://www.funimation.com/shows/kaguya-sama-love-is-war/"/>
    <m/>
    <m/>
    <m/>
    <m/>
    <n v="2"/>
    <s v="https://cdn.myanimelist.net/images/anime/1295/106551.jpg"/>
    <m/>
    <x v="9"/>
    <m/>
  </r>
  <r>
    <n v="194"/>
    <x v="191"/>
    <x v="3"/>
    <x v="10"/>
    <x v="0"/>
    <x v="181"/>
    <d v="2017-09-16T00:00:00"/>
    <x v="9"/>
    <n v="7.5"/>
    <n v="500000"/>
    <s v="Action|Fantasy|Mecha|Sci-Fi"/>
    <n v="4"/>
    <m/>
    <m/>
    <s v="https://www.amazon.com/Re-Creators-Season-1/dp/B07YCLT3HJ"/>
    <m/>
    <m/>
    <m/>
    <m/>
    <m/>
    <m/>
    <n v="1"/>
    <s v="https://cdn.myanimelist.net/images/anime/11/85469.jpg"/>
    <m/>
    <x v="9"/>
    <m/>
  </r>
  <r>
    <n v="195"/>
    <x v="192"/>
    <x v="3"/>
    <x v="9"/>
    <x v="0"/>
    <x v="182"/>
    <d v="2020-12-24T00:00:00"/>
    <x v="11"/>
    <n v="7.8"/>
    <n v="450000"/>
    <s v="Action|Sci-Fi|Thriller"/>
    <n v="3"/>
    <m/>
    <s v="https://www.crunchyroll.com/series/GY5VKXJ4Y/akudama-drive"/>
    <m/>
    <m/>
    <s v="https://www.funimation.com/shows/akudama-drive/"/>
    <m/>
    <m/>
    <m/>
    <m/>
    <n v="2"/>
    <s v="https://cdn.myanimelist.net/images/anime/1468/109172.jpg"/>
    <m/>
    <x v="9"/>
    <m/>
  </r>
  <r>
    <n v="196"/>
    <x v="193"/>
    <x v="3"/>
    <x v="17"/>
    <x v="0"/>
    <x v="183"/>
    <d v="2021-06-19T00:00:00"/>
    <x v="14"/>
    <n v="8.4"/>
    <n v="550000"/>
    <s v="Action|Drama|Sci-Fi|Music"/>
    <n v="4"/>
    <m/>
    <s v="https://www.crunchyroll.com/series/G49VJE9JY/vivy-fluorite-eyes-song"/>
    <m/>
    <m/>
    <s v="https://www.funimation.com/shows/vivy-fluorite-eyes-song/"/>
    <m/>
    <m/>
    <m/>
    <m/>
    <n v="2"/>
    <s v="https://cdn.myanimelist.net/images/anime/1551/128960.jpg"/>
    <m/>
    <x v="9"/>
    <m/>
  </r>
  <r>
    <n v="197"/>
    <x v="194"/>
    <x v="3"/>
    <x v="15"/>
    <x v="0"/>
    <x v="184"/>
    <d v="2020-12-16T00:00:00"/>
    <x v="11"/>
    <n v="8.3000000000000007"/>
    <n v="500000"/>
    <s v="Action|Adventure|Comedy|Mystery"/>
    <n v="4"/>
    <s v="https://www.netflix.com/title/81220408"/>
    <m/>
    <m/>
    <m/>
    <m/>
    <m/>
    <m/>
    <m/>
    <m/>
    <n v="1"/>
    <s v="https://cdn.myanimelist.net/images/anime/1418/107954.jpg"/>
    <m/>
    <x v="9"/>
    <m/>
  </r>
  <r>
    <n v="198"/>
    <x v="195"/>
    <x v="3"/>
    <x v="17"/>
    <x v="0"/>
    <x v="185"/>
    <d v="2018-06-29T00:00:00"/>
    <x v="10"/>
    <n v="7.9"/>
    <n v="480000"/>
    <s v="Action|Drama|Sci-Fi|Sports"/>
    <n v="4"/>
    <m/>
    <s v="https://www.crunchyroll.com/series/GYGG1JE9Y/megalobox"/>
    <m/>
    <m/>
    <s v="https://www.funimation.com/shows/megalobox/"/>
    <m/>
    <m/>
    <m/>
    <m/>
    <n v="2"/>
    <s v="https://cdn.myanimelist.net/images/anime/1958/93533.jpg"/>
    <m/>
    <x v="9"/>
    <m/>
  </r>
  <r>
    <n v="199"/>
    <x v="196"/>
    <x v="3"/>
    <x v="12"/>
    <x v="0"/>
    <x v="186"/>
    <d v="2019-10-02T00:00:00"/>
    <x v="12"/>
    <n v="8.1"/>
    <n v="450000"/>
    <s v="Drama|Music|Sci-Fi"/>
    <n v="3"/>
    <s v="https://www.netflix.com/title/80220308"/>
    <m/>
    <m/>
    <m/>
    <m/>
    <m/>
    <m/>
    <m/>
    <m/>
    <n v="1"/>
    <s v="https://cdn.myanimelist.net/images/anime/1611/96157.jpg"/>
    <m/>
    <x v="9"/>
    <m/>
  </r>
  <r>
    <n v="200"/>
    <x v="197"/>
    <x v="3"/>
    <x v="9"/>
    <x v="0"/>
    <x v="187"/>
    <d v="2015-03-28T00:00:00"/>
    <x v="4"/>
    <n v="8.1999999999999993"/>
    <n v="800000"/>
    <s v="Drama|Mystery|Psychological|Supernatural|Thriller"/>
    <n v="5"/>
    <m/>
    <s v="https://www.crunchyroll.com/series/GYGG1JE9Y/death-parade"/>
    <m/>
    <m/>
    <s v="https://www.funimation.com/shows/death-parade/"/>
    <m/>
    <m/>
    <m/>
    <m/>
    <n v="2"/>
    <s v="https://cdn.myanimelist.net/images/anime/5/71553.jpg"/>
    <m/>
    <x v="9"/>
    <m/>
  </r>
  <r>
    <n v="201"/>
    <x v="198"/>
    <x v="0"/>
    <x v="9"/>
    <x v="1"/>
    <x v="188"/>
    <d v="2026-03-26T00:00:00"/>
    <x v="31"/>
    <n v="8.6999999999999993"/>
    <n v="1897654"/>
    <s v="Action|Demons|Horror|Supernatural|School"/>
    <n v="5"/>
    <m/>
    <s v="https://www.crunchyroll.com/series/GRDV0019R/jujutsu-kaisen"/>
    <m/>
    <m/>
    <m/>
    <m/>
    <m/>
    <m/>
    <m/>
    <n v="1"/>
    <s v="https://cdn.myanimelist.net/images/anime/1659/154920.jpg"/>
    <m/>
    <x v="9"/>
    <m/>
  </r>
  <r>
    <n v="202"/>
    <x v="199"/>
    <x v="9"/>
    <x v="41"/>
    <x v="0"/>
    <x v="189"/>
    <d v="1999-01-22T00:00:00"/>
    <x v="23"/>
    <n v="7.5"/>
    <n v="3200000"/>
    <s v="Adventure|Comedy|Fantasy"/>
    <n v="3"/>
    <s v="https://www.netflix.com/title/70204970"/>
    <m/>
    <m/>
    <m/>
    <m/>
    <m/>
    <m/>
    <m/>
    <s v="https://www.pokemon.com/us/pokemon-episodes/"/>
    <n v="2"/>
    <s v="https://cdn.myanimelist.net/images/anime/5/49285.jpg"/>
    <m/>
    <x v="9"/>
    <m/>
  </r>
  <r>
    <n v="203"/>
    <x v="119"/>
    <x v="0"/>
    <x v="29"/>
    <x v="0"/>
    <x v="115"/>
    <d v="2024-06-30T00:00:00"/>
    <x v="21"/>
    <n v="8"/>
    <n v="771978"/>
    <s v="Action|Adventure|Demons|Historical|Supernatural"/>
    <n v="5"/>
    <s v="https://www.netflix.com/title/81091393"/>
    <s v="https://www.crunchyroll.com/series/GY5P48XEY/demon-slayer-kimetsu-no-yaiba"/>
    <m/>
    <s v="https://www.hulu.com/series/demon-slayer-kimetsu-no-yaiba-5b5b5b5b-5b5b-5b5b-5b5b-5b5b5b5b5b5b"/>
    <m/>
    <m/>
    <m/>
    <m/>
    <m/>
    <n v="3"/>
    <s v="https://cdn.myanimelist.net/images/anime/1565/142711.jpg"/>
    <m/>
    <x v="9"/>
    <m/>
  </r>
  <r>
    <n v="204"/>
    <x v="200"/>
    <x v="4"/>
    <x v="23"/>
    <x v="0"/>
    <x v="190"/>
    <d v="2025-07-18T00:00:00"/>
    <x v="32"/>
    <n v="8.6999999999999993"/>
    <n v="1456789"/>
    <s v="Action|Adventure|Demons|Historical|Supernatural"/>
    <n v="5"/>
    <m/>
    <s v="https://www.crunchyroll.com/movies/demon-slayer-kimetsu-no-yaiba-infinity-castle"/>
    <m/>
    <m/>
    <m/>
    <m/>
    <m/>
    <m/>
    <m/>
    <n v="1"/>
    <s v="https://cdn.myanimelist.net/images/anime/1286/99889.jpg"/>
    <m/>
    <x v="9"/>
    <m/>
  </r>
  <r>
    <n v="205"/>
    <x v="201"/>
    <x v="8"/>
    <x v="9"/>
    <x v="0"/>
    <x v="191"/>
    <d v="2025-12-29T00:00:00"/>
    <x v="32"/>
    <n v="4.5999999999999996"/>
    <n v="987654"/>
    <s v="Action|Comedy|Parody|Superhero|Superpower"/>
    <n v="5"/>
    <s v="https://www.netflix.com/title/80097571"/>
    <s v="https://www.crunchyroll.com/series/GY5P48XEY/one-punch-man"/>
    <m/>
    <s v="https://www.hulu.com/series/one-punch-man-5b5b5b5b-5b5b-5b5b-5b5b-5b5b5b5b5b5b"/>
    <m/>
    <m/>
    <m/>
    <m/>
    <m/>
    <n v="3"/>
    <s v="https://cdn.myanimelist.net/images/anime/1168/148347.jpg"/>
    <m/>
    <x v="9"/>
    <m/>
  </r>
  <r>
    <n v="206"/>
    <x v="202"/>
    <x v="0"/>
    <x v="42"/>
    <x v="0"/>
    <x v="192"/>
    <d v="2024-10-12T00:00:00"/>
    <x v="21"/>
    <n v="8.1"/>
    <n v="349727"/>
    <s v="Action|Comedy|School|Super Power"/>
    <n v="4"/>
    <m/>
    <s v="https://www.crunchyroll.com/series/G6NQ5DWZ6/my-hero-academia"/>
    <m/>
    <s v="https://www.hulu.com/series/my-hero-academia-9a9a9a9a-9a9a-9a9a-9a9a-9a9a9a9a9a9a"/>
    <s v="https://www.funimation.com/shows/my-hero-academia/"/>
    <m/>
    <m/>
    <m/>
    <m/>
    <n v="3"/>
    <s v="https://cdn.myanimelist.net/images/anime/1573/157212.jpg"/>
    <m/>
    <x v="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9BD48-8143-4905-9CBB-8EB8F792B568}" name="T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2:B81" firstHeaderRow="1" firstDataRow="1" firstDataCol="1"/>
  <pivotFields count="26">
    <pivotField showAll="0"/>
    <pivotField dataField="1" showAll="0"/>
    <pivotField showAll="0">
      <items count="17">
        <item x="8"/>
        <item x="9"/>
        <item x="13"/>
        <item x="7"/>
        <item x="10"/>
        <item x="2"/>
        <item x="4"/>
        <item x="3"/>
        <item x="11"/>
        <item x="12"/>
        <item x="1"/>
        <item x="0"/>
        <item x="14"/>
        <item x="5"/>
        <item x="15"/>
        <item x="6"/>
        <item t="default"/>
      </items>
    </pivotField>
    <pivotField showAll="0"/>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v="1"/>
    </i>
    <i>
      <x v="2"/>
    </i>
    <i>
      <x v="3"/>
    </i>
    <i>
      <x v="4"/>
    </i>
    <i>
      <x v="5"/>
    </i>
    <i>
      <x v="6"/>
    </i>
    <i>
      <x v="7"/>
    </i>
    <i>
      <x v="8"/>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DBEC60-A107-402B-9B1D-6443B0DFE96B}" name="T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2:B69" firstHeaderRow="1" firstDataRow="1" firstDataCol="1"/>
  <pivotFields count="26">
    <pivotField showAll="0"/>
    <pivotField showAll="0"/>
    <pivotField axis="axisRow" showAll="0" sortType="ascending">
      <items count="17">
        <item x="8"/>
        <item x="9"/>
        <item x="13"/>
        <item x="7"/>
        <item x="10"/>
        <item x="2"/>
        <item x="4"/>
        <item x="3"/>
        <item x="11"/>
        <item x="12"/>
        <item x="1"/>
        <item x="0"/>
        <item x="14"/>
        <item x="5"/>
        <item x="15"/>
        <item x="6"/>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7">
    <i>
      <x v="15"/>
    </i>
    <i>
      <x v="13"/>
    </i>
    <i>
      <x v="8"/>
    </i>
    <i>
      <x v="3"/>
    </i>
    <i>
      <x v="9"/>
    </i>
    <i>
      <x v="4"/>
    </i>
    <i>
      <x v="14"/>
    </i>
    <i>
      <x v="12"/>
    </i>
    <i>
      <x v="2"/>
    </i>
    <i>
      <x v="1"/>
    </i>
    <i>
      <x/>
    </i>
    <i>
      <x v="7"/>
    </i>
    <i>
      <x v="6"/>
    </i>
    <i>
      <x v="10"/>
    </i>
    <i>
      <x v="5"/>
    </i>
    <i>
      <x v="11"/>
    </i>
    <i t="grand">
      <x/>
    </i>
  </rowItems>
  <colItems count="1">
    <i/>
  </colItems>
  <dataFields count="1">
    <dataField name="Count of episodes" fld="3" subtotal="count"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20A5A-C7CA-4674-A440-74AD2D1206A3}" name="T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O25:P40" firstHeaderRow="1" firstDataRow="1" firstDataCol="1"/>
  <pivotFields count="26">
    <pivotField showAll="0"/>
    <pivotField showAll="0"/>
    <pivotField showAll="0">
      <items count="17">
        <item x="8"/>
        <item x="9"/>
        <item x="13"/>
        <item x="7"/>
        <item x="10"/>
        <item x="2"/>
        <item x="4"/>
        <item x="3"/>
        <item x="11"/>
        <item x="12"/>
        <item x="1"/>
        <item x="0"/>
        <item x="14"/>
        <item x="5"/>
        <item x="15"/>
        <item x="6"/>
        <item t="default"/>
      </items>
    </pivotField>
    <pivotField axis="axisRow" showAll="0"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v="6"/>
    </i>
    <i>
      <x v="13"/>
    </i>
    <i>
      <x v="5"/>
    </i>
    <i>
      <x v="7"/>
    </i>
    <i>
      <x v="3"/>
    </i>
    <i>
      <x v="4"/>
    </i>
    <i>
      <x v="11"/>
    </i>
    <i>
      <x v="26"/>
    </i>
    <i>
      <x v="2"/>
    </i>
    <i>
      <x v="1"/>
    </i>
    <i>
      <x v="9"/>
    </i>
    <i>
      <x v="19"/>
    </i>
    <i>
      <x v="15"/>
    </i>
    <i>
      <x v="25"/>
    </i>
    <i t="grand">
      <x/>
    </i>
  </rowItems>
  <colItems count="1">
    <i/>
  </colItems>
  <dataFields count="1">
    <dataField name="Average of rating" fld="8" subtotal="average" baseField="3"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93249-054F-4EAD-9FAA-014CD04E9BC3}" name="T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B20" firstHeaderRow="1" firstDataRow="1" firstDataCol="1"/>
  <pivotFields count="26">
    <pivotField showAll="0"/>
    <pivotField dataField="1" showAll="0"/>
    <pivotField showAll="0">
      <items count="17">
        <item x="8"/>
        <item x="9"/>
        <item x="13"/>
        <item x="7"/>
        <item x="10"/>
        <item x="2"/>
        <item x="4"/>
        <item x="3"/>
        <item x="11"/>
        <item x="12"/>
        <item x="1"/>
        <item x="0"/>
        <item x="14"/>
        <item x="5"/>
        <item x="15"/>
        <item x="6"/>
        <item t="default"/>
      </items>
    </pivotField>
    <pivotField axis="axisRow" showAll="0" sortType="descending">
      <items count="28">
        <item x="0"/>
        <item x="1"/>
        <item x="2"/>
        <item x="3"/>
        <item x="4"/>
        <item x="5"/>
        <item x="6"/>
        <item x="7"/>
        <item x="8"/>
        <item x="9"/>
        <item x="10"/>
        <item x="11"/>
        <item x="12"/>
        <item x="13"/>
        <item x="14"/>
        <item x="15"/>
        <item x="16"/>
        <item x="17"/>
        <item x="18"/>
        <item x="19"/>
        <item x="20"/>
        <item x="21"/>
        <item x="22"/>
        <item x="23"/>
        <item x="24"/>
        <item x="25"/>
        <item x="26"/>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v="1"/>
    </i>
    <i>
      <x v="2"/>
    </i>
    <i>
      <x v="3"/>
    </i>
    <i>
      <x v="4"/>
    </i>
    <i>
      <x v="26"/>
    </i>
    <i>
      <x v="5"/>
    </i>
    <i>
      <x v="7"/>
    </i>
    <i>
      <x v="25"/>
    </i>
    <i>
      <x v="13"/>
    </i>
    <i>
      <x v="11"/>
    </i>
    <i>
      <x v="19"/>
    </i>
    <i>
      <x v="6"/>
    </i>
    <i>
      <x v="9"/>
    </i>
    <i>
      <x v="15"/>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03D8C-5BAF-4460-9603-2953CEC90457}" name="KPI"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C2" firstHeaderRow="0" firstDataRow="1" firstDataCol="0"/>
  <pivotFields count="26">
    <pivotField showAll="0"/>
    <pivotField dataField="1" showAll="0"/>
    <pivotField showAll="0">
      <items count="17">
        <item x="8"/>
        <item x="9"/>
        <item x="13"/>
        <item x="7"/>
        <item x="10"/>
        <item x="2"/>
        <item x="4"/>
        <item x="3"/>
        <item x="11"/>
        <item x="12"/>
        <item x="1"/>
        <item x="0"/>
        <item x="14"/>
        <item x="5"/>
        <item x="15"/>
        <item x="6"/>
        <item t="default"/>
      </items>
    </pivotField>
    <pivotField showAll="0"/>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rating" fld="8" subtotal="average" baseField="0" baseItem="1"/>
    <dataField name="Count of title" fld="1" subtotal="count" baseField="0" baseItem="0"/>
    <dataField name="Sum of popular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EF8AE-6CF1-4056-9589-02B61956C24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Z41:AA52" firstHeaderRow="1" firstDataRow="1" firstDataCol="1"/>
  <pivotFields count="26">
    <pivotField showAll="0"/>
    <pivotField axis="axisRow" showAll="0" measureFilter="1" sortType="ascending">
      <items count="206">
        <item x="183"/>
        <item x="180"/>
        <item x="140"/>
        <item x="162"/>
        <item x="192"/>
        <item x="172"/>
        <item x="151"/>
        <item x="155"/>
        <item x="8"/>
        <item x="9"/>
        <item x="10"/>
        <item x="11"/>
        <item x="12"/>
        <item x="170"/>
        <item x="58"/>
        <item x="157"/>
        <item x="32"/>
        <item x="6"/>
        <item x="7"/>
        <item x="71"/>
        <item x="156"/>
        <item x="196"/>
        <item x="31"/>
        <item x="174"/>
        <item x="148"/>
        <item x="110"/>
        <item x="111"/>
        <item x="112"/>
        <item x="53"/>
        <item x="54"/>
        <item x="55"/>
        <item x="153"/>
        <item x="138"/>
        <item x="139"/>
        <item x="124"/>
        <item x="27"/>
        <item x="197"/>
        <item x="15"/>
        <item x="16"/>
        <item x="119"/>
        <item x="17"/>
        <item m="1" x="204"/>
        <item x="154"/>
        <item x="72"/>
        <item x="2"/>
        <item x="117"/>
        <item x="4"/>
        <item x="3"/>
        <item x="171"/>
        <item x="88"/>
        <item x="33"/>
        <item x="189"/>
        <item x="188"/>
        <item x="79"/>
        <item x="80"/>
        <item x="169"/>
        <item x="125"/>
        <item x="149"/>
        <item x="150"/>
        <item x="120"/>
        <item x="28"/>
        <item x="165"/>
        <item x="166"/>
        <item x="122"/>
        <item x="184"/>
        <item x="194"/>
        <item x="64"/>
        <item x="65"/>
        <item x="66"/>
        <item x="67"/>
        <item x="123"/>
        <item x="141"/>
        <item x="142"/>
        <item x="115"/>
        <item x="185"/>
        <item x="20"/>
        <item x="175"/>
        <item x="59"/>
        <item x="61"/>
        <item x="62"/>
        <item x="60"/>
        <item x="63"/>
        <item x="18"/>
        <item x="19"/>
        <item x="198"/>
        <item x="190"/>
        <item x="129"/>
        <item x="158"/>
        <item x="168"/>
        <item x="179"/>
        <item x="99"/>
        <item x="96"/>
        <item x="97"/>
        <item x="98"/>
        <item x="68"/>
        <item x="69"/>
        <item x="70"/>
        <item x="104"/>
        <item x="105"/>
        <item x="106"/>
        <item x="177"/>
        <item x="89"/>
        <item x="90"/>
        <item x="91"/>
        <item x="137"/>
        <item x="136"/>
        <item x="195"/>
        <item x="74"/>
        <item x="75"/>
        <item x="76"/>
        <item x="121"/>
        <item x="44"/>
        <item x="45"/>
        <item x="21"/>
        <item x="22"/>
        <item x="23"/>
        <item x="24"/>
        <item x="25"/>
        <item x="26"/>
        <item x="202"/>
        <item x="186"/>
        <item x="145"/>
        <item x="0"/>
        <item x="1"/>
        <item x="56"/>
        <item x="57"/>
        <item x="176"/>
        <item x="94"/>
        <item x="95"/>
        <item x="82"/>
        <item x="83"/>
        <item x="5"/>
        <item x="127"/>
        <item x="128"/>
        <item x="201"/>
        <item x="146"/>
        <item x="49"/>
        <item x="50"/>
        <item x="51"/>
        <item x="52"/>
        <item x="143"/>
        <item x="84"/>
        <item x="159"/>
        <item x="130"/>
        <item x="199"/>
        <item x="164"/>
        <item x="85"/>
        <item x="86"/>
        <item x="87"/>
        <item x="147"/>
        <item x="191"/>
        <item x="39"/>
        <item x="40"/>
        <item x="102"/>
        <item x="160"/>
        <item x="118"/>
        <item x="81"/>
        <item x="163"/>
        <item x="73"/>
        <item x="37"/>
        <item x="38"/>
        <item x="34"/>
        <item x="187"/>
        <item x="35"/>
        <item x="36"/>
        <item x="167"/>
        <item x="144"/>
        <item x="46"/>
        <item x="47"/>
        <item x="48"/>
        <item x="92"/>
        <item x="93"/>
        <item x="103"/>
        <item x="107"/>
        <item x="109"/>
        <item x="108"/>
        <item x="178"/>
        <item x="113"/>
        <item x="114"/>
        <item x="77"/>
        <item x="78"/>
        <item x="41"/>
        <item x="42"/>
        <item x="43"/>
        <item x="100"/>
        <item x="101"/>
        <item x="134"/>
        <item x="135"/>
        <item x="131"/>
        <item m="1" x="203"/>
        <item x="133"/>
        <item x="29"/>
        <item x="30"/>
        <item x="173"/>
        <item x="161"/>
        <item x="126"/>
        <item x="13"/>
        <item x="14"/>
        <item x="152"/>
        <item x="193"/>
        <item x="182"/>
        <item x="116"/>
        <item x="181"/>
        <item x="132"/>
        <item x="200"/>
        <item t="default"/>
      </items>
      <autoSortScope>
        <pivotArea dataOnly="0" outline="0" fieldPosition="0">
          <references count="1">
            <reference field="4294967294" count="1" selected="0">
              <x v="0"/>
            </reference>
          </references>
        </pivotArea>
      </autoSortScope>
    </pivotField>
    <pivotField showAll="0">
      <items count="17">
        <item x="8"/>
        <item x="9"/>
        <item x="13"/>
        <item x="7"/>
        <item x="10"/>
        <item x="2"/>
        <item x="4"/>
        <item x="3"/>
        <item x="11"/>
        <item x="12"/>
        <item x="1"/>
        <item x="0"/>
        <item x="14"/>
        <item x="5"/>
        <item x="15"/>
        <item x="6"/>
        <item t="default"/>
      </items>
    </pivotField>
    <pivotField showAll="0"/>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9"/>
    </i>
    <i>
      <x v="20"/>
    </i>
    <i>
      <x v="188"/>
    </i>
    <i>
      <x v="149"/>
    </i>
    <i>
      <x v="132"/>
    </i>
    <i>
      <x v="7"/>
    </i>
    <i>
      <x v="186"/>
    </i>
    <i>
      <x v="135"/>
    </i>
    <i>
      <x v="143"/>
    </i>
    <i>
      <x v="47"/>
    </i>
    <i t="grand">
      <x/>
    </i>
  </rowItems>
  <colItems count="1">
    <i/>
  </colItems>
  <dataFields count="1">
    <dataField name="Sum of popularity" fld="9"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0C4839-3CDF-4B21-8CD7-B2A1CEA16ECA}" name="T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O7:P17" firstHeaderRow="1" firstDataRow="1" firstDataCol="1"/>
  <pivotFields count="26">
    <pivotField showAll="0"/>
    <pivotField showAll="0"/>
    <pivotField showAll="0">
      <items count="17">
        <item x="8"/>
        <item x="9"/>
        <item x="13"/>
        <item x="7"/>
        <item x="10"/>
        <item x="2"/>
        <item x="4"/>
        <item x="3"/>
        <item x="11"/>
        <item x="12"/>
        <item x="1"/>
        <item x="0"/>
        <item x="14"/>
        <item x="5"/>
        <item x="15"/>
        <item x="6"/>
        <item t="default"/>
      </items>
    </pivotField>
    <pivotField showAll="0"/>
    <pivotField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1">
        <item x="2"/>
        <item x="1"/>
        <item x="5"/>
        <item x="4"/>
        <item x="6"/>
        <item x="7"/>
        <item x="3"/>
        <item x="0"/>
        <item x="8"/>
        <item h="1" x="9"/>
        <item t="default"/>
      </items>
      <autoSortScope>
        <pivotArea dataOnly="0" outline="0" fieldPosition="0">
          <references count="1">
            <reference field="4294967294" count="1" selected="0">
              <x v="0"/>
            </reference>
          </references>
        </pivotArea>
      </autoSortScope>
    </pivotField>
    <pivotField dataField="1" showAll="0"/>
  </pivotFields>
  <rowFields count="1">
    <field x="24"/>
  </rowFields>
  <rowItems count="10">
    <i>
      <x v="4"/>
    </i>
    <i>
      <x/>
    </i>
    <i>
      <x v="5"/>
    </i>
    <i>
      <x v="2"/>
    </i>
    <i>
      <x v="8"/>
    </i>
    <i>
      <x v="7"/>
    </i>
    <i>
      <x v="6"/>
    </i>
    <i>
      <x v="3"/>
    </i>
    <i>
      <x v="1"/>
    </i>
    <i t="grand">
      <x/>
    </i>
  </rowItems>
  <colItems count="1">
    <i/>
  </colItems>
  <dataFields count="1">
    <dataField name="Sum of percentage" fld="25" baseField="24" baseItem="0" numFmtId="9"/>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BF4025-E696-4478-B285-36B8D80AE087}" name="T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Z26:AA29" firstHeaderRow="1" firstDataRow="1" firstDataCol="1"/>
  <pivotFields count="26">
    <pivotField showAll="0"/>
    <pivotField showAll="0"/>
    <pivotField showAll="0">
      <items count="17">
        <item x="8"/>
        <item x="9"/>
        <item x="13"/>
        <item x="7"/>
        <item x="10"/>
        <item x="2"/>
        <item x="4"/>
        <item x="3"/>
        <item x="11"/>
        <item x="12"/>
        <item x="1"/>
        <item x="0"/>
        <item x="14"/>
        <item x="5"/>
        <item x="15"/>
        <item x="6"/>
        <item t="default"/>
      </items>
    </pivotField>
    <pivotField dataField="1" showAll="0"/>
    <pivotField axis="axisRow" showAll="0">
      <items count="3">
        <item x="1"/>
        <item x="0"/>
        <item t="default"/>
      </items>
    </pivotField>
    <pivotField numFmtId="14" showAll="0">
      <items count="194">
        <item x="2"/>
        <item x="176"/>
        <item x="154"/>
        <item x="3"/>
        <item x="55"/>
        <item x="157"/>
        <item x="126"/>
        <item x="151"/>
        <item x="156"/>
        <item x="56"/>
        <item x="57"/>
        <item x="189"/>
        <item x="153"/>
        <item x="54"/>
        <item x="5"/>
        <item x="161"/>
        <item x="119"/>
        <item x="155"/>
        <item x="158"/>
        <item x="0"/>
        <item x="139"/>
        <item x="116"/>
        <item x="150"/>
        <item x="138"/>
        <item x="117"/>
        <item x="152"/>
        <item x="6"/>
        <item x="177"/>
        <item x="170"/>
        <item x="118"/>
        <item x="136"/>
        <item x="133"/>
        <item x="26"/>
        <item x="52"/>
        <item x="1"/>
        <item x="175"/>
        <item x="159"/>
        <item x="169"/>
        <item x="147"/>
        <item x="137"/>
        <item x="162"/>
        <item x="166"/>
        <item x="53"/>
        <item x="82"/>
        <item x="165"/>
        <item x="142"/>
        <item x="171"/>
        <item x="27"/>
        <item x="32"/>
        <item x="163"/>
        <item x="164"/>
        <item x="168"/>
        <item x="36"/>
        <item x="144"/>
        <item x="179"/>
        <item x="20"/>
        <item x="69"/>
        <item x="167"/>
        <item x="33"/>
        <item x="60"/>
        <item x="132"/>
        <item x="86"/>
        <item x="93"/>
        <item x="8"/>
        <item x="160"/>
        <item x="104"/>
        <item x="70"/>
        <item x="83"/>
        <item x="61"/>
        <item x="65"/>
        <item x="95"/>
        <item x="127"/>
        <item x="34"/>
        <item x="135"/>
        <item x="105"/>
        <item x="130"/>
        <item x="85"/>
        <item x="87"/>
        <item x="128"/>
        <item x="187"/>
        <item x="71"/>
        <item x="4"/>
        <item x="48"/>
        <item x="84"/>
        <item x="66"/>
        <item x="123"/>
        <item x="89"/>
        <item x="97"/>
        <item x="62"/>
        <item x="21"/>
        <item x="38"/>
        <item x="58"/>
        <item x="134"/>
        <item x="75"/>
        <item x="173"/>
        <item x="172"/>
        <item x="67"/>
        <item x="101"/>
        <item x="98"/>
        <item x="9"/>
        <item x="149"/>
        <item x="59"/>
        <item x="181"/>
        <item x="90"/>
        <item x="109"/>
        <item x="96"/>
        <item x="31"/>
        <item x="49"/>
        <item x="145"/>
        <item x="131"/>
        <item x="129"/>
        <item x="185"/>
        <item x="22"/>
        <item x="178"/>
        <item x="37"/>
        <item x="50"/>
        <item x="10"/>
        <item x="45"/>
        <item x="63"/>
        <item x="35"/>
        <item x="76"/>
        <item x="40"/>
        <item x="78"/>
        <item x="180"/>
        <item x="102"/>
        <item x="15"/>
        <item x="124"/>
        <item x="186"/>
        <item x="73"/>
        <item x="80"/>
        <item x="13"/>
        <item x="174"/>
        <item x="99"/>
        <item x="23"/>
        <item x="88"/>
        <item x="68"/>
        <item x="91"/>
        <item x="184"/>
        <item x="81"/>
        <item x="39"/>
        <item x="18"/>
        <item x="107"/>
        <item x="182"/>
        <item x="11"/>
        <item x="79"/>
        <item x="112"/>
        <item x="43"/>
        <item x="46"/>
        <item x="106"/>
        <item x="24"/>
        <item x="183"/>
        <item x="143"/>
        <item x="28"/>
        <item x="141"/>
        <item x="148"/>
        <item x="64"/>
        <item x="16"/>
        <item x="108"/>
        <item x="12"/>
        <item x="41"/>
        <item x="74"/>
        <item x="110"/>
        <item x="51"/>
        <item x="92"/>
        <item x="94"/>
        <item x="146"/>
        <item x="25"/>
        <item x="103"/>
        <item x="77"/>
        <item x="72"/>
        <item x="7"/>
        <item x="30"/>
        <item x="122"/>
        <item x="29"/>
        <item x="14"/>
        <item x="100"/>
        <item x="17"/>
        <item x="140"/>
        <item x="44"/>
        <item x="19"/>
        <item x="121"/>
        <item x="42"/>
        <item x="111"/>
        <item x="114"/>
        <item x="47"/>
        <item x="120"/>
        <item x="125"/>
        <item x="192"/>
        <item x="115"/>
        <item x="113"/>
        <item x="190"/>
        <item x="191"/>
        <item x="1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pisodes" fld="3" subtotal="count" baseField="4"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ime_type" xr10:uid="{7A2C2BDE-EEE0-4C5C-9534-52A1D53B56F8}" sourceName="anime_type">
  <pivotTables>
    <pivotTable tabId="3" name="T7"/>
    <pivotTable tabId="3" name="KPI"/>
    <pivotTable tabId="3" name="T1"/>
    <pivotTable tabId="3" name="T2"/>
    <pivotTable tabId="3" name="T3"/>
    <pivotTable tabId="3" name="T4"/>
    <pivotTable tabId="3" name="T5"/>
    <pivotTable tabId="3" name="PivotTable9"/>
  </pivotTables>
  <data>
    <tabular pivotCacheId="1938163931">
      <items count="16">
        <i x="8" s="1"/>
        <i x="9" s="1"/>
        <i x="13" s="1"/>
        <i x="7" s="1"/>
        <i x="10" s="1"/>
        <i x="2" s="1"/>
        <i x="4" s="1"/>
        <i x="3" s="1"/>
        <i x="11" s="1"/>
        <i x="12" s="1"/>
        <i x="1" s="1"/>
        <i x="0" s="1"/>
        <i x="14" s="1"/>
        <i x="5" s="1"/>
        <i x="1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411AC3D-02F9-415A-B69A-A919A8ADFC39}" sourceName="status">
  <pivotTables>
    <pivotTable tabId="3" name="T7"/>
    <pivotTable tabId="3" name="KPI"/>
    <pivotTable tabId="3" name="T1"/>
    <pivotTable tabId="3" name="T2"/>
    <pivotTable tabId="3" name="T3"/>
    <pivotTable tabId="3" name="T4"/>
    <pivotTable tabId="3" name="T5"/>
    <pivotTable tabId="3" name="PivotTable9"/>
  </pivotTables>
  <data>
    <tabular pivotCacheId="19381639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ime_type" xr10:uid="{DBF76343-50D5-4ECB-8691-CDFF83769AF0}" cache="Slicer_anime_type" caption="anime_type" style="Slicer Style 2" rowHeight="234950"/>
  <slicer name="status" xr10:uid="{FB486F72-5E9F-4F4B-8F15-4CA2E44F58A3}" cache="Slicer_status" caption="status"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ime_type 1" xr10:uid="{76971944-2870-4C71-BFBA-9B5B9A489710}" cache="Slicer_anime_type" caption="anime_type" startItem="4" style="Slicer Style 2" rowHeight="234950"/>
  <slicer name="status 2" xr10:uid="{77D39C07-2EFE-4693-B353-7547C1E7F82B}" cache="Slicer_status" caption="status"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CE6884-B047-48A5-93D4-71A04335661D}" name="Data" displayName="Data" ref="A1:W207" totalsRowShown="0">
  <tableColumns count="23">
    <tableColumn id="1" xr3:uid="{CCD1F62D-3AA6-410D-88D8-F93835E73374}" name="anime_id"/>
    <tableColumn id="2" xr3:uid="{51B071B3-2C33-4754-B0E4-B27362244C63}" name="title"/>
    <tableColumn id="3" xr3:uid="{BBC4ECC9-C866-4AEE-9625-AEB6A435D692}" name="anime_type"/>
    <tableColumn id="4" xr3:uid="{AC34D93B-608D-4CF0-AF26-71C8C992E340}" name="episodes"/>
    <tableColumn id="5" xr3:uid="{88D4F385-F4AE-4D9B-8F28-78BB652B898F}" name="status"/>
    <tableColumn id="6" xr3:uid="{906B0667-96C7-4764-AFFD-981BB56DA21B}" name="aired_start" dataDxfId="2"/>
    <tableColumn id="7" xr3:uid="{AAA71360-1186-4CDC-B446-55F31CB281FA}" name="aired_end" dataDxfId="1"/>
    <tableColumn id="8" xr3:uid="{78D9F7D9-CFFD-4D98-B39C-04DBB9E3DA0D}" name="year"/>
    <tableColumn id="9" xr3:uid="{F46C7CD2-711B-42CC-A0BB-74E1C28B4615}" name="rating"/>
    <tableColumn id="10" xr3:uid="{52E3C1A6-4622-497A-AE7E-8BC20E8B5365}" name="popularity" dataDxfId="0"/>
    <tableColumn id="11" xr3:uid="{9C0FA2E4-C247-4F58-8745-4A8BD7381D24}" name="genres"/>
    <tableColumn id="12" xr3:uid="{A8A16C31-D6C8-472D-BAEA-1CA18A13C7D9}" name="genres_count"/>
    <tableColumn id="13" xr3:uid="{E8FE2E8F-55BF-40DD-BC9C-CB4462A615CE}" name="netflix"/>
    <tableColumn id="14" xr3:uid="{2755290C-7446-4D3A-BCEB-08CA2FB7F41C}" name="crunchyroll"/>
    <tableColumn id="15" xr3:uid="{B0191B10-1BEA-4531-A766-C414B747AFB2}" name="amazon_prime"/>
    <tableColumn id="16" xr3:uid="{0846C624-E8AD-4ECE-9469-AAB4295E2806}" name="hulu"/>
    <tableColumn id="17" xr3:uid="{4B6CA0B9-C460-4FB1-8F18-8A281AE61542}" name="funimation"/>
    <tableColumn id="18" xr3:uid="{1AF2F807-D16F-4FFD-818F-9872382AB401}" name="disney_plus"/>
    <tableColumn id="19" xr3:uid="{4999156A-A371-4195-B167-75E3126F87BF}" name="hbo_max"/>
    <tableColumn id="20" xr3:uid="{FDA22E5E-9C2A-4F67-9F31-8DC7CB9BC2F7}" name="hidive"/>
    <tableColumn id="21" xr3:uid="{0EEC0331-4DE0-4675-B7FE-6C27F6E3B328}" name="pokemon_tv"/>
    <tableColumn id="22" xr3:uid="{41D5DF87-2FA6-4EB4-9922-DF092CF49936}" name="streaming_platforms_count"/>
    <tableColumn id="23" xr3:uid="{B2C0E95E-8212-48D6-9B79-902128FD151C}" name="poster_ur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29F7E-E7E9-4C18-87EF-1D8405D80A58}" name="Data2" displayName="Data2" ref="A1:Z207" totalsRowShown="0">
  <tableColumns count="26">
    <tableColumn id="1" xr3:uid="{2F685332-3A91-469A-8A5F-D3564D264F7F}" name="anime_id"/>
    <tableColumn id="2" xr3:uid="{E5758E92-A670-4704-BEF6-156717489C54}" name="title"/>
    <tableColumn id="3" xr3:uid="{2588B3EC-B0AD-4913-96CD-CAC0DF31D12F}" name="anime_type"/>
    <tableColumn id="4" xr3:uid="{F5979E08-AB35-43C8-BC37-44BE791F5280}" name="episodes"/>
    <tableColumn id="5" xr3:uid="{4826A57E-E618-4645-846B-FCD4F6E35D95}" name="status"/>
    <tableColumn id="6" xr3:uid="{7F29267E-6872-4C54-BA0C-189CC72ACE38}" name="aired_start" dataDxfId="5"/>
    <tableColumn id="7" xr3:uid="{ECAEE687-2D7E-4659-8210-9CBD890F4722}" name="aired_end" dataDxfId="4"/>
    <tableColumn id="8" xr3:uid="{CF4F8463-84F8-4C08-B74A-A1BD17AC57A9}" name="year"/>
    <tableColumn id="9" xr3:uid="{8C5EC89A-52B5-4017-BC28-7D223863FF79}" name="rating"/>
    <tableColumn id="10" xr3:uid="{F528E334-C6A6-4E9B-ADD3-80FAC53E9A82}" name="popularity" dataDxfId="3"/>
    <tableColumn id="11" xr3:uid="{53EB7440-3C44-4874-BBEB-BC5D515849EC}" name="genres"/>
    <tableColumn id="12" xr3:uid="{6D769056-1207-4B97-BC44-C7741B8F4F07}" name="genres_count"/>
    <tableColumn id="13" xr3:uid="{31E2A398-D021-44FD-B478-4D2D519EA00A}" name="netflix"/>
    <tableColumn id="14" xr3:uid="{9B47E731-BD5B-40C6-AA69-D3FC9809D67F}" name="crunchyroll"/>
    <tableColumn id="15" xr3:uid="{0F792C0D-1CCF-406D-ABF2-3C1F7047D4EA}" name="amazon_prime"/>
    <tableColumn id="16" xr3:uid="{1BDB2AA9-0294-4324-A3FC-D2B824710246}" name="hulu"/>
    <tableColumn id="17" xr3:uid="{022DD872-D1CD-401E-A793-3A68E2C15504}" name="funimation"/>
    <tableColumn id="18" xr3:uid="{7585CE8D-5AF8-4E95-ADF6-D8FD9197AD28}" name="disney_plus"/>
    <tableColumn id="19" xr3:uid="{0C9C0B8B-021B-4A22-8120-C6E7FD21241F}" name="hbo_max"/>
    <tableColumn id="20" xr3:uid="{E03B4411-463C-4733-894D-19BCF1725ADE}" name="hidive"/>
    <tableColumn id="21" xr3:uid="{5433AEA5-BFB8-4736-8D74-09EF106AE749}" name="pokemon_tv"/>
    <tableColumn id="22" xr3:uid="{0E7CCC50-D53B-4508-8DE8-4E7CD3ABEA0B}" name="streaming_platforms_count"/>
    <tableColumn id="23" xr3:uid="{55AF6CDA-41EB-41F8-9BB0-385D9F46B0DB}" name="poster_url"/>
    <tableColumn id="24" xr3:uid="{61C7A5B7-174E-469F-92C9-877FB485C38F}" name="counts"/>
    <tableColumn id="25" xr3:uid="{23CDD1E5-69EF-4A4C-A39C-954AD2DA1A33}" name="Platform"/>
    <tableColumn id="26" xr3:uid="{7532EAEC-BB04-4548-A68B-BD408DF8CE29}" name="percent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ired_start" xr10:uid="{D193CD0D-33F5-47BF-9AFE-A8927956AA07}" sourceName="aired_start">
  <pivotTables>
    <pivotTable tabId="3" name="T7"/>
    <pivotTable tabId="3" name="KPI"/>
    <pivotTable tabId="3" name="T1"/>
    <pivotTable tabId="3" name="T2"/>
    <pivotTable tabId="3" name="T3"/>
    <pivotTable tabId="3" name="T4"/>
    <pivotTable tabId="3" name="T5"/>
    <pivotTable tabId="3" name="PivotTable9"/>
  </pivotTables>
  <state minimalRefreshVersion="6" lastRefreshVersion="6" pivotCacheId="1938163931" filterType="unknown">
    <bounds startDate="198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ired_start" xr10:uid="{5E7C9A4F-8AC4-447B-B808-6D389B582E1A}" cache="NativeTimeline_aired_start" caption="aired_start" level="2" selectionLevel="2" scrollPosition="2017-12-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ired_start 1" xr10:uid="{292FEEAB-0490-47DB-8035-F66FD78742DA}" cache="NativeTimeline_aired_start" caption="aired_start" level="2" selectionLevel="2" scrollPosition="2018-02-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44EE-2911-427E-88F4-9833D2C4B37B}">
  <sheetPr>
    <tabColor rgb="FFFFFF00"/>
  </sheetPr>
  <dimension ref="A1:W207"/>
  <sheetViews>
    <sheetView topLeftCell="A176" zoomScale="81" zoomScaleNormal="81" workbookViewId="0">
      <selection activeCell="X176" sqref="X1:X1048576"/>
    </sheetView>
  </sheetViews>
  <sheetFormatPr defaultRowHeight="14.4" x14ac:dyDescent="0.3"/>
  <cols>
    <col min="1" max="1" width="10.6640625" customWidth="1"/>
    <col min="2" max="2" width="54.6640625" bestFit="1" customWidth="1"/>
    <col min="3" max="3" width="12.88671875" customWidth="1"/>
    <col min="4" max="4" width="10.21875" customWidth="1"/>
    <col min="5" max="5" width="13.5546875" bestFit="1" customWidth="1"/>
    <col min="6" max="6" width="11.88671875" customWidth="1"/>
    <col min="7" max="7" width="11.33203125" customWidth="1"/>
    <col min="8" max="8" width="6.5546875" customWidth="1"/>
    <col min="9" max="9" width="7.77734375" customWidth="1"/>
    <col min="10" max="10" width="11.5546875" customWidth="1"/>
    <col min="11" max="11" width="54.77734375" bestFit="1" customWidth="1"/>
    <col min="12" max="12" width="14.33203125" customWidth="1"/>
    <col min="13" max="13" width="37" bestFit="1" customWidth="1"/>
    <col min="14" max="14" width="83.44140625" bestFit="1" customWidth="1"/>
    <col min="15" max="15" width="71.44140625" bestFit="1" customWidth="1"/>
    <col min="16" max="16" width="95.6640625" bestFit="1" customWidth="1"/>
    <col min="17" max="17" width="70.44140625" bestFit="1" customWidth="1"/>
    <col min="18" max="18" width="72.109375" bestFit="1" customWidth="1"/>
    <col min="19" max="19" width="67.109375" bestFit="1" customWidth="1"/>
    <col min="20" max="20" width="68" bestFit="1" customWidth="1"/>
    <col min="21" max="21" width="44.33203125" bestFit="1" customWidth="1"/>
    <col min="22" max="22" width="26.21875" customWidth="1"/>
    <col min="23" max="23" width="54"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1</v>
      </c>
      <c r="B2" t="s">
        <v>23</v>
      </c>
      <c r="C2" t="s">
        <v>24</v>
      </c>
      <c r="D2">
        <v>220</v>
      </c>
      <c r="E2" t="s">
        <v>25</v>
      </c>
      <c r="F2" s="1">
        <v>37532</v>
      </c>
      <c r="G2" s="1">
        <v>39121</v>
      </c>
      <c r="H2">
        <v>2002</v>
      </c>
      <c r="I2">
        <v>7.9</v>
      </c>
      <c r="J2">
        <v>1727877</v>
      </c>
      <c r="K2" t="s">
        <v>26</v>
      </c>
      <c r="L2">
        <v>5</v>
      </c>
      <c r="M2" t="s">
        <v>27</v>
      </c>
      <c r="N2" t="s">
        <v>28</v>
      </c>
      <c r="P2" t="s">
        <v>29</v>
      </c>
      <c r="V2">
        <v>3</v>
      </c>
      <c r="W2" t="s">
        <v>30</v>
      </c>
    </row>
    <row r="3" spans="1:23" x14ac:dyDescent="0.3">
      <c r="A3">
        <v>2</v>
      </c>
      <c r="B3" t="s">
        <v>31</v>
      </c>
      <c r="C3" t="s">
        <v>24</v>
      </c>
      <c r="D3">
        <v>500</v>
      </c>
      <c r="E3" t="s">
        <v>25</v>
      </c>
      <c r="F3" s="1">
        <v>39128</v>
      </c>
      <c r="G3" s="1">
        <v>42817</v>
      </c>
      <c r="H3">
        <v>2007</v>
      </c>
      <c r="I3">
        <v>8.1999999999999993</v>
      </c>
      <c r="J3">
        <v>2456789</v>
      </c>
      <c r="K3" t="s">
        <v>26</v>
      </c>
      <c r="L3">
        <v>5</v>
      </c>
      <c r="M3" t="s">
        <v>27</v>
      </c>
      <c r="N3" t="s">
        <v>28</v>
      </c>
      <c r="P3" t="s">
        <v>32</v>
      </c>
      <c r="V3">
        <v>3</v>
      </c>
      <c r="W3" t="s">
        <v>33</v>
      </c>
    </row>
    <row r="4" spans="1:23" x14ac:dyDescent="0.3">
      <c r="A4">
        <v>3</v>
      </c>
      <c r="B4" t="s">
        <v>34</v>
      </c>
      <c r="C4" t="s">
        <v>24</v>
      </c>
      <c r="D4">
        <v>153</v>
      </c>
      <c r="E4" t="s">
        <v>25</v>
      </c>
      <c r="F4" s="1">
        <v>31469</v>
      </c>
      <c r="G4" s="1">
        <v>32610</v>
      </c>
      <c r="H4">
        <v>1986</v>
      </c>
      <c r="I4">
        <v>8.5</v>
      </c>
      <c r="J4">
        <v>987654</v>
      </c>
      <c r="K4" t="s">
        <v>35</v>
      </c>
      <c r="L4">
        <v>6</v>
      </c>
      <c r="N4" t="s">
        <v>36</v>
      </c>
      <c r="Q4" t="s">
        <v>37</v>
      </c>
      <c r="V4">
        <v>2</v>
      </c>
      <c r="W4" t="s">
        <v>38</v>
      </c>
    </row>
    <row r="5" spans="1:23" x14ac:dyDescent="0.3">
      <c r="A5">
        <v>4</v>
      </c>
      <c r="B5" t="s">
        <v>39</v>
      </c>
      <c r="C5" t="s">
        <v>24</v>
      </c>
      <c r="D5">
        <v>291</v>
      </c>
      <c r="E5" t="s">
        <v>25</v>
      </c>
      <c r="F5" s="1">
        <v>32624</v>
      </c>
      <c r="G5" s="1">
        <v>35095</v>
      </c>
      <c r="H5">
        <v>1989</v>
      </c>
      <c r="I5">
        <v>8.9</v>
      </c>
      <c r="J5">
        <v>15432101</v>
      </c>
      <c r="K5" t="s">
        <v>35</v>
      </c>
      <c r="L5">
        <v>6</v>
      </c>
      <c r="N5" t="s">
        <v>36</v>
      </c>
      <c r="Q5" t="s">
        <v>40</v>
      </c>
      <c r="V5">
        <v>2</v>
      </c>
      <c r="W5" t="s">
        <v>41</v>
      </c>
    </row>
    <row r="6" spans="1:23" x14ac:dyDescent="0.3">
      <c r="A6">
        <v>5</v>
      </c>
      <c r="B6" t="s">
        <v>42</v>
      </c>
      <c r="C6" t="s">
        <v>24</v>
      </c>
      <c r="D6">
        <v>131</v>
      </c>
      <c r="E6" t="s">
        <v>25</v>
      </c>
      <c r="F6" s="1">
        <v>42190</v>
      </c>
      <c r="G6" s="1">
        <v>43184</v>
      </c>
      <c r="H6">
        <v>2015</v>
      </c>
      <c r="I6">
        <v>8.3000000000000007</v>
      </c>
      <c r="J6">
        <v>1234567</v>
      </c>
      <c r="K6" t="s">
        <v>35</v>
      </c>
      <c r="L6">
        <v>6</v>
      </c>
      <c r="N6" t="s">
        <v>36</v>
      </c>
      <c r="Q6" t="s">
        <v>43</v>
      </c>
      <c r="V6">
        <v>2</v>
      </c>
      <c r="W6" t="s">
        <v>44</v>
      </c>
    </row>
    <row r="7" spans="1:23" x14ac:dyDescent="0.3">
      <c r="A7">
        <v>6</v>
      </c>
      <c r="B7" t="s">
        <v>45</v>
      </c>
      <c r="C7" t="s">
        <v>24</v>
      </c>
      <c r="D7">
        <v>1136</v>
      </c>
      <c r="E7" t="s">
        <v>46</v>
      </c>
      <c r="F7" s="1">
        <v>36453</v>
      </c>
      <c r="G7" t="s">
        <v>484</v>
      </c>
      <c r="H7">
        <v>1999</v>
      </c>
      <c r="I7">
        <v>8.6</v>
      </c>
      <c r="J7">
        <v>3456789</v>
      </c>
      <c r="K7" t="s">
        <v>47</v>
      </c>
      <c r="L7">
        <v>5</v>
      </c>
      <c r="M7" t="s">
        <v>48</v>
      </c>
      <c r="N7" t="s">
        <v>49</v>
      </c>
      <c r="Q7" t="s">
        <v>50</v>
      </c>
      <c r="V7">
        <v>3</v>
      </c>
      <c r="W7" t="s">
        <v>51</v>
      </c>
    </row>
    <row r="8" spans="1:23" x14ac:dyDescent="0.3">
      <c r="A8">
        <v>7</v>
      </c>
      <c r="B8" t="s">
        <v>52</v>
      </c>
      <c r="C8" t="s">
        <v>24</v>
      </c>
      <c r="D8">
        <v>366</v>
      </c>
      <c r="E8" t="s">
        <v>25</v>
      </c>
      <c r="F8" s="1">
        <v>38265</v>
      </c>
      <c r="G8" s="1">
        <v>40995</v>
      </c>
      <c r="H8">
        <v>2004</v>
      </c>
      <c r="I8">
        <v>7.8</v>
      </c>
      <c r="J8">
        <v>987654</v>
      </c>
      <c r="K8" t="s">
        <v>53</v>
      </c>
      <c r="L8">
        <v>5</v>
      </c>
      <c r="M8" t="s">
        <v>54</v>
      </c>
      <c r="N8" t="s">
        <v>55</v>
      </c>
      <c r="P8" t="s">
        <v>56</v>
      </c>
      <c r="V8">
        <v>3</v>
      </c>
      <c r="W8" t="s">
        <v>57</v>
      </c>
    </row>
    <row r="9" spans="1:23" x14ac:dyDescent="0.3">
      <c r="A9">
        <v>8</v>
      </c>
      <c r="B9" t="s">
        <v>58</v>
      </c>
      <c r="C9" t="s">
        <v>24</v>
      </c>
      <c r="D9">
        <v>52</v>
      </c>
      <c r="E9" t="s">
        <v>46</v>
      </c>
      <c r="F9" s="1">
        <v>44844</v>
      </c>
      <c r="G9" t="s">
        <v>484</v>
      </c>
      <c r="H9">
        <v>2022</v>
      </c>
      <c r="I9">
        <v>9.1</v>
      </c>
      <c r="J9">
        <v>876543</v>
      </c>
      <c r="K9" t="s">
        <v>59</v>
      </c>
      <c r="L9">
        <v>4</v>
      </c>
      <c r="P9" t="s">
        <v>60</v>
      </c>
      <c r="R9" t="s">
        <v>61</v>
      </c>
      <c r="V9">
        <v>2</v>
      </c>
      <c r="W9" t="s">
        <v>62</v>
      </c>
    </row>
    <row r="10" spans="1:23" x14ac:dyDescent="0.3">
      <c r="A10">
        <v>9</v>
      </c>
      <c r="B10" t="s">
        <v>63</v>
      </c>
      <c r="C10" t="s">
        <v>64</v>
      </c>
      <c r="D10">
        <v>25</v>
      </c>
      <c r="E10" t="s">
        <v>25</v>
      </c>
      <c r="F10" s="1">
        <v>41371</v>
      </c>
      <c r="G10" s="1">
        <v>41546</v>
      </c>
      <c r="H10">
        <v>2013</v>
      </c>
      <c r="I10">
        <v>8.5</v>
      </c>
      <c r="J10">
        <v>2345678</v>
      </c>
      <c r="K10" t="s">
        <v>65</v>
      </c>
      <c r="L10">
        <v>6</v>
      </c>
      <c r="N10" t="s">
        <v>66</v>
      </c>
      <c r="P10" t="s">
        <v>67</v>
      </c>
      <c r="Q10" t="s">
        <v>68</v>
      </c>
      <c r="V10">
        <v>3</v>
      </c>
      <c r="W10" t="s">
        <v>69</v>
      </c>
    </row>
    <row r="11" spans="1:23" x14ac:dyDescent="0.3">
      <c r="A11">
        <v>10</v>
      </c>
      <c r="B11" t="s">
        <v>70</v>
      </c>
      <c r="C11" t="s">
        <v>64</v>
      </c>
      <c r="D11">
        <v>12</v>
      </c>
      <c r="E11" t="s">
        <v>25</v>
      </c>
      <c r="F11" s="1">
        <v>42826</v>
      </c>
      <c r="G11" s="1">
        <v>42903</v>
      </c>
      <c r="H11">
        <v>2017</v>
      </c>
      <c r="I11">
        <v>8.6999999999999993</v>
      </c>
      <c r="J11">
        <v>2345678</v>
      </c>
      <c r="K11" t="s">
        <v>65</v>
      </c>
      <c r="L11">
        <v>6</v>
      </c>
      <c r="N11" t="s">
        <v>66</v>
      </c>
      <c r="P11" t="s">
        <v>67</v>
      </c>
      <c r="Q11" t="s">
        <v>68</v>
      </c>
      <c r="V11">
        <v>3</v>
      </c>
      <c r="W11" t="s">
        <v>71</v>
      </c>
    </row>
    <row r="12" spans="1:23" x14ac:dyDescent="0.3">
      <c r="A12">
        <v>11</v>
      </c>
      <c r="B12" t="s">
        <v>72</v>
      </c>
      <c r="C12" t="s">
        <v>64</v>
      </c>
      <c r="D12">
        <v>22</v>
      </c>
      <c r="E12" t="s">
        <v>25</v>
      </c>
      <c r="F12" s="1">
        <v>43304</v>
      </c>
      <c r="G12" s="1">
        <v>43647</v>
      </c>
      <c r="H12">
        <v>2018</v>
      </c>
      <c r="I12">
        <v>9</v>
      </c>
      <c r="J12">
        <v>2345678</v>
      </c>
      <c r="K12" t="s">
        <v>65</v>
      </c>
      <c r="L12">
        <v>6</v>
      </c>
      <c r="N12" t="s">
        <v>66</v>
      </c>
      <c r="P12" t="s">
        <v>67</v>
      </c>
      <c r="Q12" t="s">
        <v>68</v>
      </c>
      <c r="V12">
        <v>3</v>
      </c>
      <c r="W12" t="s">
        <v>73</v>
      </c>
    </row>
    <row r="13" spans="1:23" x14ac:dyDescent="0.3">
      <c r="A13">
        <v>12</v>
      </c>
      <c r="B13" t="s">
        <v>74</v>
      </c>
      <c r="C13" t="s">
        <v>64</v>
      </c>
      <c r="D13">
        <v>28</v>
      </c>
      <c r="E13" t="s">
        <v>25</v>
      </c>
      <c r="F13" s="1">
        <v>44172</v>
      </c>
      <c r="G13" s="1">
        <v>44290</v>
      </c>
      <c r="H13">
        <v>2020</v>
      </c>
      <c r="I13">
        <v>9.1999999999999993</v>
      </c>
      <c r="J13">
        <v>2345678</v>
      </c>
      <c r="K13" t="s">
        <v>65</v>
      </c>
      <c r="L13">
        <v>6</v>
      </c>
      <c r="N13" t="s">
        <v>66</v>
      </c>
      <c r="P13" t="s">
        <v>67</v>
      </c>
      <c r="Q13" t="s">
        <v>68</v>
      </c>
      <c r="V13">
        <v>3</v>
      </c>
      <c r="W13" t="s">
        <v>75</v>
      </c>
    </row>
    <row r="14" spans="1:23" x14ac:dyDescent="0.3">
      <c r="A14">
        <v>13</v>
      </c>
      <c r="B14" t="s">
        <v>76</v>
      </c>
      <c r="C14" t="s">
        <v>64</v>
      </c>
      <c r="D14">
        <v>12</v>
      </c>
      <c r="E14" t="s">
        <v>25</v>
      </c>
      <c r="F14" s="1">
        <v>44571</v>
      </c>
      <c r="G14" s="1">
        <v>44655</v>
      </c>
      <c r="H14">
        <v>2022</v>
      </c>
      <c r="I14">
        <v>9.3000000000000007</v>
      </c>
      <c r="J14">
        <v>2345678</v>
      </c>
      <c r="K14" t="s">
        <v>65</v>
      </c>
      <c r="L14">
        <v>6</v>
      </c>
      <c r="N14" t="s">
        <v>66</v>
      </c>
      <c r="P14" t="s">
        <v>67</v>
      </c>
      <c r="Q14" t="s">
        <v>68</v>
      </c>
      <c r="V14">
        <v>3</v>
      </c>
      <c r="W14" t="s">
        <v>77</v>
      </c>
    </row>
    <row r="15" spans="1:23" x14ac:dyDescent="0.3">
      <c r="A15">
        <v>14</v>
      </c>
      <c r="B15" t="s">
        <v>78</v>
      </c>
      <c r="C15" t="s">
        <v>64</v>
      </c>
      <c r="D15">
        <v>24</v>
      </c>
      <c r="E15" t="s">
        <v>25</v>
      </c>
      <c r="F15" s="1">
        <v>43653</v>
      </c>
      <c r="G15" s="1">
        <v>43828</v>
      </c>
      <c r="H15">
        <v>2019</v>
      </c>
      <c r="I15">
        <v>8.6999999999999993</v>
      </c>
      <c r="J15">
        <v>345678</v>
      </c>
      <c r="K15" t="s">
        <v>79</v>
      </c>
      <c r="L15">
        <v>4</v>
      </c>
      <c r="M15" t="s">
        <v>80</v>
      </c>
      <c r="O15" t="s">
        <v>81</v>
      </c>
      <c r="V15">
        <v>2</v>
      </c>
      <c r="W15" t="s">
        <v>82</v>
      </c>
    </row>
    <row r="16" spans="1:23" x14ac:dyDescent="0.3">
      <c r="A16">
        <v>15</v>
      </c>
      <c r="B16" t="s">
        <v>83</v>
      </c>
      <c r="C16" t="s">
        <v>64</v>
      </c>
      <c r="D16">
        <v>24</v>
      </c>
      <c r="E16" t="s">
        <v>25</v>
      </c>
      <c r="F16" s="1">
        <v>44936</v>
      </c>
      <c r="G16" s="1">
        <v>45097</v>
      </c>
      <c r="H16">
        <v>2023</v>
      </c>
      <c r="I16">
        <v>9.1</v>
      </c>
      <c r="J16">
        <v>456789</v>
      </c>
      <c r="K16" t="s">
        <v>79</v>
      </c>
      <c r="L16">
        <v>4</v>
      </c>
      <c r="M16" t="s">
        <v>80</v>
      </c>
      <c r="O16" t="s">
        <v>84</v>
      </c>
      <c r="V16">
        <v>2</v>
      </c>
      <c r="W16" t="s">
        <v>82</v>
      </c>
    </row>
    <row r="17" spans="1:23" x14ac:dyDescent="0.3">
      <c r="A17">
        <v>16</v>
      </c>
      <c r="B17" t="s">
        <v>85</v>
      </c>
      <c r="C17" t="s">
        <v>24</v>
      </c>
      <c r="D17">
        <v>26</v>
      </c>
      <c r="E17" t="s">
        <v>25</v>
      </c>
      <c r="F17" s="1">
        <v>43561</v>
      </c>
      <c r="G17" s="1">
        <v>43736</v>
      </c>
      <c r="H17">
        <v>2019</v>
      </c>
      <c r="I17">
        <v>8.5</v>
      </c>
      <c r="J17">
        <v>2345678</v>
      </c>
      <c r="K17" t="s">
        <v>86</v>
      </c>
      <c r="L17">
        <v>5</v>
      </c>
      <c r="M17" t="s">
        <v>87</v>
      </c>
      <c r="N17" t="s">
        <v>88</v>
      </c>
      <c r="P17" t="s">
        <v>89</v>
      </c>
      <c r="Q17" t="s">
        <v>90</v>
      </c>
      <c r="V17">
        <v>4</v>
      </c>
      <c r="W17" t="s">
        <v>91</v>
      </c>
    </row>
    <row r="18" spans="1:23" x14ac:dyDescent="0.3">
      <c r="A18">
        <v>17</v>
      </c>
      <c r="B18" t="s">
        <v>92</v>
      </c>
      <c r="C18" t="s">
        <v>24</v>
      </c>
      <c r="D18">
        <v>11</v>
      </c>
      <c r="E18" t="s">
        <v>25</v>
      </c>
      <c r="F18" s="1">
        <v>44535</v>
      </c>
      <c r="G18" s="1">
        <v>44605</v>
      </c>
      <c r="H18">
        <v>2021</v>
      </c>
      <c r="I18">
        <v>9</v>
      </c>
      <c r="J18">
        <v>2345678</v>
      </c>
      <c r="K18" t="s">
        <v>86</v>
      </c>
      <c r="L18">
        <v>5</v>
      </c>
      <c r="N18" t="s">
        <v>88</v>
      </c>
      <c r="P18" t="s">
        <v>89</v>
      </c>
      <c r="Q18" t="s">
        <v>90</v>
      </c>
      <c r="V18">
        <v>3</v>
      </c>
      <c r="W18" t="s">
        <v>93</v>
      </c>
    </row>
    <row r="19" spans="1:23" x14ac:dyDescent="0.3">
      <c r="A19">
        <v>18</v>
      </c>
      <c r="B19" t="s">
        <v>94</v>
      </c>
      <c r="C19" t="s">
        <v>24</v>
      </c>
      <c r="D19">
        <v>11</v>
      </c>
      <c r="E19" t="s">
        <v>25</v>
      </c>
      <c r="F19" s="1">
        <v>45025</v>
      </c>
      <c r="G19" s="1">
        <v>45095</v>
      </c>
      <c r="H19">
        <v>2023</v>
      </c>
      <c r="I19">
        <v>8.8000000000000007</v>
      </c>
      <c r="J19">
        <v>2345678</v>
      </c>
      <c r="K19" t="s">
        <v>86</v>
      </c>
      <c r="L19">
        <v>5</v>
      </c>
      <c r="N19" t="s">
        <v>88</v>
      </c>
      <c r="P19" t="s">
        <v>89</v>
      </c>
      <c r="Q19" t="s">
        <v>90</v>
      </c>
      <c r="V19">
        <v>3</v>
      </c>
      <c r="W19" t="s">
        <v>95</v>
      </c>
    </row>
    <row r="20" spans="1:23" x14ac:dyDescent="0.3">
      <c r="A20">
        <v>19</v>
      </c>
      <c r="B20" t="s">
        <v>96</v>
      </c>
      <c r="C20" t="s">
        <v>24</v>
      </c>
      <c r="D20">
        <v>24</v>
      </c>
      <c r="E20" t="s">
        <v>25</v>
      </c>
      <c r="F20" s="1">
        <v>44107</v>
      </c>
      <c r="G20" s="1">
        <v>44282</v>
      </c>
      <c r="H20">
        <v>2020</v>
      </c>
      <c r="I20">
        <v>8.6</v>
      </c>
      <c r="J20">
        <v>2345678</v>
      </c>
      <c r="K20" t="s">
        <v>97</v>
      </c>
      <c r="L20">
        <v>5</v>
      </c>
      <c r="M20" t="s">
        <v>98</v>
      </c>
      <c r="N20" t="s">
        <v>99</v>
      </c>
      <c r="P20" t="s">
        <v>100</v>
      </c>
      <c r="V20">
        <v>3</v>
      </c>
      <c r="W20" t="s">
        <v>101</v>
      </c>
    </row>
    <row r="21" spans="1:23" x14ac:dyDescent="0.3">
      <c r="A21">
        <v>20</v>
      </c>
      <c r="B21" t="s">
        <v>102</v>
      </c>
      <c r="C21" t="s">
        <v>24</v>
      </c>
      <c r="D21">
        <v>23</v>
      </c>
      <c r="E21" t="s">
        <v>25</v>
      </c>
      <c r="F21" s="1">
        <v>45113</v>
      </c>
      <c r="G21" s="1">
        <v>45288</v>
      </c>
      <c r="H21">
        <v>2023</v>
      </c>
      <c r="I21">
        <v>9</v>
      </c>
      <c r="J21">
        <v>2345678</v>
      </c>
      <c r="K21" t="s">
        <v>97</v>
      </c>
      <c r="L21">
        <v>5</v>
      </c>
      <c r="N21" t="s">
        <v>99</v>
      </c>
      <c r="P21" t="s">
        <v>100</v>
      </c>
      <c r="V21">
        <v>2</v>
      </c>
      <c r="W21" t="s">
        <v>103</v>
      </c>
    </row>
    <row r="22" spans="1:23" x14ac:dyDescent="0.3">
      <c r="A22">
        <v>21</v>
      </c>
      <c r="B22" t="s">
        <v>104</v>
      </c>
      <c r="C22" t="s">
        <v>24</v>
      </c>
      <c r="D22">
        <v>148</v>
      </c>
      <c r="E22" t="s">
        <v>25</v>
      </c>
      <c r="F22" s="1">
        <v>40818</v>
      </c>
      <c r="G22" s="1">
        <v>41906</v>
      </c>
      <c r="H22">
        <v>2011</v>
      </c>
      <c r="I22">
        <v>9.1</v>
      </c>
      <c r="J22">
        <v>1234567</v>
      </c>
      <c r="K22" t="s">
        <v>105</v>
      </c>
      <c r="L22">
        <v>3</v>
      </c>
      <c r="M22" t="s">
        <v>54</v>
      </c>
      <c r="N22" t="s">
        <v>106</v>
      </c>
      <c r="P22" t="s">
        <v>107</v>
      </c>
      <c r="V22">
        <v>3</v>
      </c>
      <c r="W22" t="s">
        <v>108</v>
      </c>
    </row>
    <row r="23" spans="1:23" x14ac:dyDescent="0.3">
      <c r="A23">
        <v>22</v>
      </c>
      <c r="B23" t="s">
        <v>109</v>
      </c>
      <c r="C23" t="s">
        <v>24</v>
      </c>
      <c r="D23">
        <v>13</v>
      </c>
      <c r="E23" t="s">
        <v>25</v>
      </c>
      <c r="F23" s="1">
        <v>42463</v>
      </c>
      <c r="G23" s="1">
        <v>42547</v>
      </c>
      <c r="H23">
        <v>2016</v>
      </c>
      <c r="I23">
        <v>7.9</v>
      </c>
      <c r="J23">
        <v>1234567</v>
      </c>
      <c r="K23" t="s">
        <v>110</v>
      </c>
      <c r="L23">
        <v>4</v>
      </c>
      <c r="N23" t="s">
        <v>111</v>
      </c>
      <c r="P23" t="s">
        <v>112</v>
      </c>
      <c r="Q23" t="s">
        <v>113</v>
      </c>
      <c r="V23">
        <v>3</v>
      </c>
      <c r="W23" t="s">
        <v>114</v>
      </c>
    </row>
    <row r="24" spans="1:23" x14ac:dyDescent="0.3">
      <c r="A24">
        <v>23</v>
      </c>
      <c r="B24" t="s">
        <v>115</v>
      </c>
      <c r="C24" t="s">
        <v>24</v>
      </c>
      <c r="D24">
        <v>25</v>
      </c>
      <c r="E24" t="s">
        <v>25</v>
      </c>
      <c r="F24" s="1">
        <v>42826</v>
      </c>
      <c r="G24" s="1">
        <v>43008</v>
      </c>
      <c r="H24">
        <v>2017</v>
      </c>
      <c r="I24">
        <v>8.1999999999999993</v>
      </c>
      <c r="J24">
        <v>1234567</v>
      </c>
      <c r="K24" t="s">
        <v>110</v>
      </c>
      <c r="L24">
        <v>4</v>
      </c>
      <c r="N24" t="s">
        <v>111</v>
      </c>
      <c r="P24" t="s">
        <v>112</v>
      </c>
      <c r="Q24" t="s">
        <v>113</v>
      </c>
      <c r="V24">
        <v>3</v>
      </c>
      <c r="W24" t="s">
        <v>114</v>
      </c>
    </row>
    <row r="25" spans="1:23" x14ac:dyDescent="0.3">
      <c r="A25">
        <v>24</v>
      </c>
      <c r="B25" t="s">
        <v>116</v>
      </c>
      <c r="C25" t="s">
        <v>24</v>
      </c>
      <c r="D25">
        <v>25</v>
      </c>
      <c r="E25" t="s">
        <v>25</v>
      </c>
      <c r="F25" s="1">
        <v>43197</v>
      </c>
      <c r="G25" s="1">
        <v>43372</v>
      </c>
      <c r="H25">
        <v>2018</v>
      </c>
      <c r="I25">
        <v>8.3000000000000007</v>
      </c>
      <c r="J25">
        <v>1234567</v>
      </c>
      <c r="K25" t="s">
        <v>110</v>
      </c>
      <c r="L25">
        <v>4</v>
      </c>
      <c r="N25" t="s">
        <v>111</v>
      </c>
      <c r="P25" t="s">
        <v>112</v>
      </c>
      <c r="Q25" t="s">
        <v>113</v>
      </c>
      <c r="V25">
        <v>3</v>
      </c>
      <c r="W25" t="s">
        <v>117</v>
      </c>
    </row>
    <row r="26" spans="1:23" x14ac:dyDescent="0.3">
      <c r="A26">
        <v>25</v>
      </c>
      <c r="B26" t="s">
        <v>118</v>
      </c>
      <c r="C26" t="s">
        <v>24</v>
      </c>
      <c r="D26">
        <v>25</v>
      </c>
      <c r="E26" t="s">
        <v>25</v>
      </c>
      <c r="F26" s="1">
        <v>43750</v>
      </c>
      <c r="G26" s="1">
        <v>43925</v>
      </c>
      <c r="H26">
        <v>2019</v>
      </c>
      <c r="I26">
        <v>8.3000000000000007</v>
      </c>
      <c r="J26">
        <v>1234567</v>
      </c>
      <c r="K26" t="s">
        <v>110</v>
      </c>
      <c r="L26">
        <v>4</v>
      </c>
      <c r="N26" t="s">
        <v>111</v>
      </c>
      <c r="P26" t="s">
        <v>112</v>
      </c>
      <c r="Q26" t="s">
        <v>113</v>
      </c>
      <c r="V26">
        <v>3</v>
      </c>
      <c r="W26" t="s">
        <v>119</v>
      </c>
    </row>
    <row r="27" spans="1:23" x14ac:dyDescent="0.3">
      <c r="A27">
        <v>26</v>
      </c>
      <c r="B27" t="s">
        <v>120</v>
      </c>
      <c r="C27" t="s">
        <v>24</v>
      </c>
      <c r="D27">
        <v>25</v>
      </c>
      <c r="E27" t="s">
        <v>25</v>
      </c>
      <c r="F27" s="1">
        <v>44282</v>
      </c>
      <c r="G27" s="1">
        <v>44464</v>
      </c>
      <c r="H27">
        <v>2021</v>
      </c>
      <c r="I27">
        <v>7.9</v>
      </c>
      <c r="J27">
        <v>1234567</v>
      </c>
      <c r="K27" t="s">
        <v>110</v>
      </c>
      <c r="L27">
        <v>4</v>
      </c>
      <c r="N27" t="s">
        <v>111</v>
      </c>
      <c r="P27" t="s">
        <v>112</v>
      </c>
      <c r="Q27" t="s">
        <v>113</v>
      </c>
      <c r="V27">
        <v>3</v>
      </c>
      <c r="W27" t="s">
        <v>121</v>
      </c>
    </row>
    <row r="28" spans="1:23" x14ac:dyDescent="0.3">
      <c r="A28">
        <v>27</v>
      </c>
      <c r="B28" t="s">
        <v>122</v>
      </c>
      <c r="C28" t="s">
        <v>24</v>
      </c>
      <c r="D28">
        <v>25</v>
      </c>
      <c r="E28" t="s">
        <v>25</v>
      </c>
      <c r="F28" s="1">
        <v>44835</v>
      </c>
      <c r="G28" s="1">
        <v>45010</v>
      </c>
      <c r="H28">
        <v>2022</v>
      </c>
      <c r="I28">
        <v>8.5</v>
      </c>
      <c r="J28">
        <v>1234567</v>
      </c>
      <c r="K28" t="s">
        <v>110</v>
      </c>
      <c r="L28">
        <v>4</v>
      </c>
      <c r="N28" t="s">
        <v>111</v>
      </c>
      <c r="P28" t="s">
        <v>112</v>
      </c>
      <c r="Q28" t="s">
        <v>113</v>
      </c>
      <c r="V28">
        <v>3</v>
      </c>
      <c r="W28" t="s">
        <v>123</v>
      </c>
    </row>
    <row r="29" spans="1:23" x14ac:dyDescent="0.3">
      <c r="A29">
        <v>28</v>
      </c>
      <c r="B29" t="s">
        <v>124</v>
      </c>
      <c r="C29" t="s">
        <v>24</v>
      </c>
      <c r="D29">
        <v>37</v>
      </c>
      <c r="E29" t="s">
        <v>25</v>
      </c>
      <c r="F29" s="1">
        <v>38994</v>
      </c>
      <c r="G29" s="1">
        <v>39260</v>
      </c>
      <c r="H29">
        <v>2006</v>
      </c>
      <c r="I29">
        <v>8.6</v>
      </c>
      <c r="J29">
        <v>2345678</v>
      </c>
      <c r="K29" t="s">
        <v>125</v>
      </c>
      <c r="L29">
        <v>4</v>
      </c>
      <c r="M29" t="s">
        <v>54</v>
      </c>
      <c r="N29" t="s">
        <v>126</v>
      </c>
      <c r="P29" t="s">
        <v>127</v>
      </c>
      <c r="V29">
        <v>3</v>
      </c>
      <c r="W29" t="s">
        <v>128</v>
      </c>
    </row>
    <row r="30" spans="1:23" x14ac:dyDescent="0.3">
      <c r="A30">
        <v>29</v>
      </c>
      <c r="B30" t="s">
        <v>129</v>
      </c>
      <c r="C30" t="s">
        <v>24</v>
      </c>
      <c r="D30">
        <v>64</v>
      </c>
      <c r="E30" t="s">
        <v>25</v>
      </c>
      <c r="F30" s="1">
        <v>39908</v>
      </c>
      <c r="G30" s="1">
        <v>40363</v>
      </c>
      <c r="H30">
        <v>2009</v>
      </c>
      <c r="I30">
        <v>9.1</v>
      </c>
      <c r="J30">
        <v>2345678</v>
      </c>
      <c r="K30" t="s">
        <v>130</v>
      </c>
      <c r="L30">
        <v>6</v>
      </c>
      <c r="M30" t="s">
        <v>131</v>
      </c>
      <c r="N30" t="s">
        <v>132</v>
      </c>
      <c r="P30" t="s">
        <v>133</v>
      </c>
      <c r="Q30" t="s">
        <v>134</v>
      </c>
      <c r="V30">
        <v>4</v>
      </c>
      <c r="W30" t="s">
        <v>135</v>
      </c>
    </row>
    <row r="31" spans="1:23" x14ac:dyDescent="0.3">
      <c r="A31">
        <v>30</v>
      </c>
      <c r="B31" t="s">
        <v>136</v>
      </c>
      <c r="C31" t="s">
        <v>24</v>
      </c>
      <c r="D31">
        <v>24</v>
      </c>
      <c r="E31" t="s">
        <v>25</v>
      </c>
      <c r="F31" s="1">
        <v>44297</v>
      </c>
      <c r="G31" s="1">
        <v>44458</v>
      </c>
      <c r="H31">
        <v>2021</v>
      </c>
      <c r="I31">
        <v>7.9</v>
      </c>
      <c r="J31">
        <v>876543</v>
      </c>
      <c r="K31" t="s">
        <v>137</v>
      </c>
      <c r="L31">
        <v>3</v>
      </c>
      <c r="N31" t="s">
        <v>138</v>
      </c>
      <c r="P31" t="s">
        <v>139</v>
      </c>
      <c r="V31">
        <v>2</v>
      </c>
      <c r="W31" t="s">
        <v>140</v>
      </c>
    </row>
    <row r="32" spans="1:23" x14ac:dyDescent="0.3">
      <c r="A32">
        <v>31</v>
      </c>
      <c r="B32" t="s">
        <v>141</v>
      </c>
      <c r="C32" t="s">
        <v>24</v>
      </c>
      <c r="D32">
        <v>13</v>
      </c>
      <c r="E32" t="s">
        <v>25</v>
      </c>
      <c r="F32" s="1">
        <v>44934</v>
      </c>
      <c r="G32" s="1">
        <v>45018</v>
      </c>
      <c r="H32">
        <v>2023</v>
      </c>
      <c r="I32">
        <v>8.1999999999999993</v>
      </c>
      <c r="J32">
        <v>876543</v>
      </c>
      <c r="K32" t="s">
        <v>137</v>
      </c>
      <c r="L32">
        <v>3</v>
      </c>
      <c r="N32" t="s">
        <v>138</v>
      </c>
      <c r="P32" t="s">
        <v>139</v>
      </c>
      <c r="V32">
        <v>2</v>
      </c>
      <c r="W32" t="s">
        <v>142</v>
      </c>
    </row>
    <row r="33" spans="1:23" x14ac:dyDescent="0.3">
      <c r="A33">
        <v>32</v>
      </c>
      <c r="B33" t="s">
        <v>143</v>
      </c>
      <c r="C33" t="s">
        <v>24</v>
      </c>
      <c r="D33">
        <v>12</v>
      </c>
      <c r="E33" t="s">
        <v>25</v>
      </c>
      <c r="F33" s="1">
        <v>44846</v>
      </c>
      <c r="G33" s="1">
        <v>44923</v>
      </c>
      <c r="H33">
        <v>2022</v>
      </c>
      <c r="I33">
        <v>8.5</v>
      </c>
      <c r="J33">
        <v>2345678</v>
      </c>
      <c r="K33" t="s">
        <v>144</v>
      </c>
      <c r="L33">
        <v>3</v>
      </c>
      <c r="N33" t="s">
        <v>145</v>
      </c>
      <c r="P33" t="s">
        <v>146</v>
      </c>
      <c r="V33">
        <v>2</v>
      </c>
      <c r="W33" t="s">
        <v>147</v>
      </c>
    </row>
    <row r="34" spans="1:23" x14ac:dyDescent="0.3">
      <c r="A34">
        <v>33</v>
      </c>
      <c r="B34" t="s">
        <v>148</v>
      </c>
      <c r="C34" t="s">
        <v>24</v>
      </c>
      <c r="D34">
        <v>170</v>
      </c>
      <c r="E34" t="s">
        <v>25</v>
      </c>
      <c r="F34" s="1">
        <v>43011</v>
      </c>
      <c r="G34" s="1">
        <v>44285</v>
      </c>
      <c r="H34">
        <v>2017</v>
      </c>
      <c r="I34">
        <v>7.8</v>
      </c>
      <c r="J34">
        <v>987654</v>
      </c>
      <c r="K34" t="s">
        <v>149</v>
      </c>
      <c r="L34">
        <v>4</v>
      </c>
      <c r="N34" t="s">
        <v>150</v>
      </c>
      <c r="P34" t="s">
        <v>151</v>
      </c>
      <c r="Q34" t="s">
        <v>152</v>
      </c>
      <c r="V34">
        <v>3</v>
      </c>
      <c r="W34" t="s">
        <v>153</v>
      </c>
    </row>
    <row r="35" spans="1:23" x14ac:dyDescent="0.3">
      <c r="A35">
        <v>34</v>
      </c>
      <c r="B35" t="s">
        <v>154</v>
      </c>
      <c r="C35" t="s">
        <v>24</v>
      </c>
      <c r="D35">
        <v>328</v>
      </c>
      <c r="E35" t="s">
        <v>25</v>
      </c>
      <c r="F35" s="1">
        <v>40098</v>
      </c>
      <c r="G35" s="1">
        <v>43553</v>
      </c>
      <c r="H35">
        <v>2009</v>
      </c>
      <c r="I35">
        <v>7.5</v>
      </c>
      <c r="J35">
        <v>876543</v>
      </c>
      <c r="K35" t="s">
        <v>155</v>
      </c>
      <c r="L35">
        <v>5</v>
      </c>
      <c r="N35" t="s">
        <v>156</v>
      </c>
      <c r="P35" t="s">
        <v>157</v>
      </c>
      <c r="Q35" t="s">
        <v>158</v>
      </c>
      <c r="V35">
        <v>3</v>
      </c>
      <c r="W35" t="s">
        <v>159</v>
      </c>
    </row>
    <row r="36" spans="1:23" x14ac:dyDescent="0.3">
      <c r="A36">
        <v>35</v>
      </c>
      <c r="B36" t="s">
        <v>160</v>
      </c>
      <c r="C36" t="s">
        <v>24</v>
      </c>
      <c r="D36">
        <v>25</v>
      </c>
      <c r="E36" t="s">
        <v>25</v>
      </c>
      <c r="F36" s="1">
        <v>41098</v>
      </c>
      <c r="G36" s="1">
        <v>41266</v>
      </c>
      <c r="H36">
        <v>2012</v>
      </c>
      <c r="I36">
        <v>7.2</v>
      </c>
      <c r="J36">
        <v>1234567</v>
      </c>
      <c r="K36" t="s">
        <v>161</v>
      </c>
      <c r="L36">
        <v>5</v>
      </c>
      <c r="M36" t="s">
        <v>162</v>
      </c>
      <c r="N36" t="s">
        <v>163</v>
      </c>
      <c r="P36" t="s">
        <v>164</v>
      </c>
      <c r="V36">
        <v>3</v>
      </c>
      <c r="W36" t="s">
        <v>165</v>
      </c>
    </row>
    <row r="37" spans="1:23" x14ac:dyDescent="0.3">
      <c r="A37">
        <v>36</v>
      </c>
      <c r="B37" t="s">
        <v>166</v>
      </c>
      <c r="C37" t="s">
        <v>24</v>
      </c>
      <c r="D37">
        <v>24</v>
      </c>
      <c r="E37" t="s">
        <v>25</v>
      </c>
      <c r="F37" s="1">
        <v>41825</v>
      </c>
      <c r="G37" s="1">
        <v>41993</v>
      </c>
      <c r="H37">
        <v>2014</v>
      </c>
      <c r="I37">
        <v>7.4</v>
      </c>
      <c r="J37">
        <v>1234567</v>
      </c>
      <c r="K37" t="s">
        <v>161</v>
      </c>
      <c r="L37">
        <v>5</v>
      </c>
      <c r="M37" t="s">
        <v>162</v>
      </c>
      <c r="N37" t="s">
        <v>163</v>
      </c>
      <c r="P37" t="s">
        <v>164</v>
      </c>
      <c r="V37">
        <v>3</v>
      </c>
      <c r="W37" t="s">
        <v>167</v>
      </c>
    </row>
    <row r="38" spans="1:23" x14ac:dyDescent="0.3">
      <c r="A38">
        <v>37</v>
      </c>
      <c r="B38" t="s">
        <v>168</v>
      </c>
      <c r="C38" t="s">
        <v>24</v>
      </c>
      <c r="D38">
        <v>47</v>
      </c>
      <c r="E38" t="s">
        <v>25</v>
      </c>
      <c r="F38" s="1">
        <v>43380</v>
      </c>
      <c r="G38" s="1">
        <v>44094</v>
      </c>
      <c r="H38">
        <v>2018</v>
      </c>
      <c r="I38">
        <v>7.6</v>
      </c>
      <c r="J38">
        <v>1234567</v>
      </c>
      <c r="K38" t="s">
        <v>161</v>
      </c>
      <c r="L38">
        <v>5</v>
      </c>
      <c r="N38" t="s">
        <v>163</v>
      </c>
      <c r="P38" t="s">
        <v>164</v>
      </c>
      <c r="V38">
        <v>2</v>
      </c>
      <c r="W38" t="s">
        <v>169</v>
      </c>
    </row>
    <row r="39" spans="1:23" x14ac:dyDescent="0.3">
      <c r="A39">
        <v>38</v>
      </c>
      <c r="B39" t="s">
        <v>170</v>
      </c>
      <c r="C39" t="s">
        <v>64</v>
      </c>
      <c r="D39">
        <v>24</v>
      </c>
      <c r="E39" t="s">
        <v>25</v>
      </c>
      <c r="F39" s="1">
        <v>40639</v>
      </c>
      <c r="G39" s="1">
        <v>40800</v>
      </c>
      <c r="H39">
        <v>2011</v>
      </c>
      <c r="I39">
        <v>9.1</v>
      </c>
      <c r="J39">
        <v>987654</v>
      </c>
      <c r="K39" t="s">
        <v>171</v>
      </c>
      <c r="L39">
        <v>3</v>
      </c>
      <c r="N39" t="s">
        <v>172</v>
      </c>
      <c r="P39" t="s">
        <v>173</v>
      </c>
      <c r="Q39" t="s">
        <v>174</v>
      </c>
      <c r="V39">
        <v>3</v>
      </c>
      <c r="W39" t="s">
        <v>175</v>
      </c>
    </row>
    <row r="40" spans="1:23" x14ac:dyDescent="0.3">
      <c r="A40">
        <v>39</v>
      </c>
      <c r="B40" t="s">
        <v>176</v>
      </c>
      <c r="C40" t="s">
        <v>64</v>
      </c>
      <c r="D40">
        <v>23</v>
      </c>
      <c r="E40" t="s">
        <v>25</v>
      </c>
      <c r="F40" s="1">
        <v>43202</v>
      </c>
      <c r="G40" s="1">
        <v>43370</v>
      </c>
      <c r="H40">
        <v>2018</v>
      </c>
      <c r="I40">
        <v>8.6</v>
      </c>
      <c r="J40">
        <v>876543</v>
      </c>
      <c r="K40" t="s">
        <v>171</v>
      </c>
      <c r="L40">
        <v>3</v>
      </c>
      <c r="N40" t="s">
        <v>172</v>
      </c>
      <c r="P40" t="s">
        <v>173</v>
      </c>
      <c r="Q40" t="s">
        <v>174</v>
      </c>
      <c r="V40">
        <v>3</v>
      </c>
      <c r="W40" t="s">
        <v>177</v>
      </c>
    </row>
    <row r="41" spans="1:23" x14ac:dyDescent="0.3">
      <c r="A41">
        <v>40</v>
      </c>
      <c r="B41" t="s">
        <v>178</v>
      </c>
      <c r="C41" t="s">
        <v>179</v>
      </c>
      <c r="D41">
        <v>25</v>
      </c>
      <c r="E41" t="s">
        <v>25</v>
      </c>
      <c r="F41" s="1">
        <v>42464</v>
      </c>
      <c r="G41" s="1">
        <v>42632</v>
      </c>
      <c r="H41">
        <v>2016</v>
      </c>
      <c r="I41">
        <v>8.1999999999999993</v>
      </c>
      <c r="J41">
        <v>1234567</v>
      </c>
      <c r="K41" t="s">
        <v>180</v>
      </c>
      <c r="L41">
        <v>4</v>
      </c>
      <c r="N41" t="s">
        <v>181</v>
      </c>
      <c r="P41" t="s">
        <v>182</v>
      </c>
      <c r="V41">
        <v>2</v>
      </c>
      <c r="W41" t="s">
        <v>183</v>
      </c>
    </row>
    <row r="42" spans="1:23" x14ac:dyDescent="0.3">
      <c r="A42">
        <v>41</v>
      </c>
      <c r="B42" t="s">
        <v>184</v>
      </c>
      <c r="C42" t="s">
        <v>179</v>
      </c>
      <c r="D42">
        <v>25</v>
      </c>
      <c r="E42" t="s">
        <v>25</v>
      </c>
      <c r="F42" s="1">
        <v>44020</v>
      </c>
      <c r="G42" s="1">
        <v>44279</v>
      </c>
      <c r="H42">
        <v>2020</v>
      </c>
      <c r="I42">
        <v>8.6</v>
      </c>
      <c r="J42">
        <v>1234567</v>
      </c>
      <c r="K42" t="s">
        <v>180</v>
      </c>
      <c r="L42">
        <v>4</v>
      </c>
      <c r="N42" t="s">
        <v>181</v>
      </c>
      <c r="P42" t="s">
        <v>182</v>
      </c>
      <c r="V42">
        <v>2</v>
      </c>
      <c r="W42" t="s">
        <v>185</v>
      </c>
    </row>
    <row r="43" spans="1:23" x14ac:dyDescent="0.3">
      <c r="A43">
        <v>42</v>
      </c>
      <c r="B43" t="s">
        <v>186</v>
      </c>
      <c r="C43" t="s">
        <v>179</v>
      </c>
      <c r="D43">
        <v>25</v>
      </c>
      <c r="E43" t="s">
        <v>25</v>
      </c>
      <c r="F43" s="1">
        <v>43474</v>
      </c>
      <c r="G43" s="1">
        <v>43642</v>
      </c>
      <c r="H43">
        <v>2019</v>
      </c>
      <c r="I43">
        <v>7.9</v>
      </c>
      <c r="J43">
        <v>987654</v>
      </c>
      <c r="K43" t="s">
        <v>187</v>
      </c>
      <c r="L43">
        <v>4</v>
      </c>
      <c r="N43" t="s">
        <v>188</v>
      </c>
      <c r="Q43" t="s">
        <v>189</v>
      </c>
      <c r="V43">
        <v>2</v>
      </c>
      <c r="W43" t="s">
        <v>190</v>
      </c>
    </row>
    <row r="44" spans="1:23" x14ac:dyDescent="0.3">
      <c r="A44">
        <v>43</v>
      </c>
      <c r="B44" t="s">
        <v>191</v>
      </c>
      <c r="C44" t="s">
        <v>179</v>
      </c>
      <c r="D44">
        <v>13</v>
      </c>
      <c r="E44" t="s">
        <v>25</v>
      </c>
      <c r="F44" s="1">
        <v>44657</v>
      </c>
      <c r="G44" s="1">
        <v>44741</v>
      </c>
      <c r="H44">
        <v>2022</v>
      </c>
      <c r="I44">
        <v>7.1</v>
      </c>
      <c r="J44">
        <v>876543</v>
      </c>
      <c r="K44" t="s">
        <v>187</v>
      </c>
      <c r="L44">
        <v>4</v>
      </c>
      <c r="N44" t="s">
        <v>188</v>
      </c>
      <c r="Q44" t="s">
        <v>189</v>
      </c>
      <c r="V44">
        <v>2</v>
      </c>
      <c r="W44" t="s">
        <v>192</v>
      </c>
    </row>
    <row r="45" spans="1:23" x14ac:dyDescent="0.3">
      <c r="A45">
        <v>44</v>
      </c>
      <c r="B45" t="s">
        <v>193</v>
      </c>
      <c r="C45" t="s">
        <v>179</v>
      </c>
      <c r="D45">
        <v>12</v>
      </c>
      <c r="E45" t="s">
        <v>25</v>
      </c>
      <c r="F45" s="1">
        <v>45205</v>
      </c>
      <c r="G45" s="1">
        <v>45282</v>
      </c>
      <c r="H45">
        <v>2023</v>
      </c>
      <c r="I45">
        <v>7.5</v>
      </c>
      <c r="J45">
        <v>765432</v>
      </c>
      <c r="K45" t="s">
        <v>187</v>
      </c>
      <c r="L45">
        <v>4</v>
      </c>
      <c r="N45" t="s">
        <v>188</v>
      </c>
      <c r="Q45" t="s">
        <v>189</v>
      </c>
      <c r="V45">
        <v>2</v>
      </c>
      <c r="W45" t="s">
        <v>190</v>
      </c>
    </row>
    <row r="46" spans="1:23" x14ac:dyDescent="0.3">
      <c r="A46">
        <v>45</v>
      </c>
      <c r="B46" t="s">
        <v>194</v>
      </c>
      <c r="C46" t="s">
        <v>179</v>
      </c>
      <c r="D46">
        <v>23</v>
      </c>
      <c r="E46" t="s">
        <v>25</v>
      </c>
      <c r="F46" s="1">
        <v>44207</v>
      </c>
      <c r="G46" s="1">
        <v>44550</v>
      </c>
      <c r="H46">
        <v>2021</v>
      </c>
      <c r="I46">
        <v>8.4</v>
      </c>
      <c r="J46">
        <v>987654</v>
      </c>
      <c r="K46" t="s">
        <v>195</v>
      </c>
      <c r="L46">
        <v>4</v>
      </c>
      <c r="P46" t="s">
        <v>196</v>
      </c>
      <c r="Q46" t="s">
        <v>197</v>
      </c>
      <c r="V46">
        <v>2</v>
      </c>
      <c r="W46" t="s">
        <v>198</v>
      </c>
    </row>
    <row r="47" spans="1:23" x14ac:dyDescent="0.3">
      <c r="A47">
        <v>46</v>
      </c>
      <c r="B47" t="s">
        <v>199</v>
      </c>
      <c r="C47" t="s">
        <v>179</v>
      </c>
      <c r="D47">
        <v>25</v>
      </c>
      <c r="E47" t="s">
        <v>25</v>
      </c>
      <c r="F47" s="1">
        <v>45110</v>
      </c>
      <c r="G47" s="1">
        <v>45278</v>
      </c>
      <c r="H47">
        <v>2023</v>
      </c>
      <c r="I47">
        <v>8.6999999999999993</v>
      </c>
      <c r="J47">
        <v>987654</v>
      </c>
      <c r="K47" t="s">
        <v>195</v>
      </c>
      <c r="L47">
        <v>4</v>
      </c>
      <c r="N47" t="s">
        <v>200</v>
      </c>
      <c r="P47" t="s">
        <v>196</v>
      </c>
      <c r="V47">
        <v>2</v>
      </c>
      <c r="W47" t="s">
        <v>198</v>
      </c>
    </row>
    <row r="48" spans="1:23" x14ac:dyDescent="0.3">
      <c r="A48">
        <v>47</v>
      </c>
      <c r="B48" t="s">
        <v>201</v>
      </c>
      <c r="C48" t="s">
        <v>179</v>
      </c>
      <c r="D48">
        <v>24</v>
      </c>
      <c r="E48" t="s">
        <v>25</v>
      </c>
      <c r="F48" s="1">
        <v>43375</v>
      </c>
      <c r="G48" s="1">
        <v>43543</v>
      </c>
      <c r="H48">
        <v>2018</v>
      </c>
      <c r="I48">
        <v>8</v>
      </c>
      <c r="J48">
        <v>987654</v>
      </c>
      <c r="K48" t="s">
        <v>202</v>
      </c>
      <c r="L48">
        <v>4</v>
      </c>
      <c r="N48" t="s">
        <v>203</v>
      </c>
      <c r="P48" t="s">
        <v>204</v>
      </c>
      <c r="Q48" t="s">
        <v>205</v>
      </c>
      <c r="V48">
        <v>3</v>
      </c>
      <c r="W48" t="s">
        <v>206</v>
      </c>
    </row>
    <row r="49" spans="1:23" x14ac:dyDescent="0.3">
      <c r="A49">
        <v>48</v>
      </c>
      <c r="B49" t="s">
        <v>207</v>
      </c>
      <c r="C49" t="s">
        <v>179</v>
      </c>
      <c r="D49">
        <v>24</v>
      </c>
      <c r="E49" t="s">
        <v>25</v>
      </c>
      <c r="F49" s="1">
        <v>44208</v>
      </c>
      <c r="G49" s="1">
        <v>44460</v>
      </c>
      <c r="H49">
        <v>2021</v>
      </c>
      <c r="I49">
        <v>8.3000000000000007</v>
      </c>
      <c r="J49">
        <v>987654</v>
      </c>
      <c r="K49" t="s">
        <v>202</v>
      </c>
      <c r="L49">
        <v>4</v>
      </c>
      <c r="N49" t="s">
        <v>203</v>
      </c>
      <c r="P49" t="s">
        <v>204</v>
      </c>
      <c r="Q49" t="s">
        <v>205</v>
      </c>
      <c r="V49">
        <v>3</v>
      </c>
      <c r="W49" t="s">
        <v>206</v>
      </c>
    </row>
    <row r="50" spans="1:23" x14ac:dyDescent="0.3">
      <c r="A50">
        <v>49</v>
      </c>
      <c r="B50" t="s">
        <v>208</v>
      </c>
      <c r="C50" t="s">
        <v>179</v>
      </c>
      <c r="D50">
        <v>24</v>
      </c>
      <c r="E50" t="s">
        <v>46</v>
      </c>
      <c r="F50" s="1">
        <v>45387</v>
      </c>
      <c r="G50" t="s">
        <v>484</v>
      </c>
      <c r="H50">
        <v>2024</v>
      </c>
      <c r="J50">
        <v>987654</v>
      </c>
      <c r="K50" t="s">
        <v>202</v>
      </c>
      <c r="L50">
        <v>4</v>
      </c>
      <c r="N50" t="s">
        <v>203</v>
      </c>
      <c r="P50" t="s">
        <v>204</v>
      </c>
      <c r="V50">
        <v>2</v>
      </c>
      <c r="W50" t="s">
        <v>209</v>
      </c>
    </row>
    <row r="51" spans="1:23" x14ac:dyDescent="0.3">
      <c r="A51">
        <v>50</v>
      </c>
      <c r="B51" t="s">
        <v>210</v>
      </c>
      <c r="C51" t="s">
        <v>179</v>
      </c>
      <c r="D51">
        <v>13</v>
      </c>
      <c r="E51" t="s">
        <v>25</v>
      </c>
      <c r="F51" s="1">
        <v>42192</v>
      </c>
      <c r="G51" s="1">
        <v>42276</v>
      </c>
      <c r="H51">
        <v>2015</v>
      </c>
      <c r="I51">
        <v>7.8</v>
      </c>
      <c r="J51">
        <v>876543</v>
      </c>
      <c r="K51" t="s">
        <v>211</v>
      </c>
      <c r="L51">
        <v>4</v>
      </c>
      <c r="N51" t="s">
        <v>212</v>
      </c>
      <c r="P51" t="s">
        <v>213</v>
      </c>
      <c r="Q51" t="s">
        <v>214</v>
      </c>
      <c r="V51">
        <v>3</v>
      </c>
      <c r="W51" t="s">
        <v>215</v>
      </c>
    </row>
    <row r="52" spans="1:23" x14ac:dyDescent="0.3">
      <c r="A52">
        <v>51</v>
      </c>
      <c r="B52" t="s">
        <v>216</v>
      </c>
      <c r="C52" t="s">
        <v>179</v>
      </c>
      <c r="D52">
        <v>13</v>
      </c>
      <c r="E52" t="s">
        <v>25</v>
      </c>
      <c r="F52" s="1">
        <v>43110</v>
      </c>
      <c r="G52" s="1">
        <v>43194</v>
      </c>
      <c r="H52">
        <v>2018</v>
      </c>
      <c r="I52">
        <v>7.8</v>
      </c>
      <c r="J52">
        <v>876543</v>
      </c>
      <c r="K52" t="s">
        <v>211</v>
      </c>
      <c r="L52">
        <v>4</v>
      </c>
      <c r="N52" t="s">
        <v>212</v>
      </c>
      <c r="P52" t="s">
        <v>213</v>
      </c>
      <c r="Q52" t="s">
        <v>214</v>
      </c>
      <c r="V52">
        <v>3</v>
      </c>
      <c r="W52" t="s">
        <v>215</v>
      </c>
    </row>
    <row r="53" spans="1:23" x14ac:dyDescent="0.3">
      <c r="A53">
        <v>52</v>
      </c>
      <c r="B53" t="s">
        <v>217</v>
      </c>
      <c r="C53" t="s">
        <v>179</v>
      </c>
      <c r="D53">
        <v>13</v>
      </c>
      <c r="E53" t="s">
        <v>25</v>
      </c>
      <c r="F53" s="1">
        <v>43292</v>
      </c>
      <c r="G53" s="1">
        <v>43375</v>
      </c>
      <c r="H53">
        <v>2018</v>
      </c>
      <c r="I53">
        <v>7.7</v>
      </c>
      <c r="J53">
        <v>876543</v>
      </c>
      <c r="K53" t="s">
        <v>211</v>
      </c>
      <c r="L53">
        <v>4</v>
      </c>
      <c r="N53" t="s">
        <v>212</v>
      </c>
      <c r="P53" t="s">
        <v>213</v>
      </c>
      <c r="Q53" t="s">
        <v>214</v>
      </c>
      <c r="V53">
        <v>3</v>
      </c>
      <c r="W53" t="s">
        <v>218</v>
      </c>
    </row>
    <row r="54" spans="1:23" x14ac:dyDescent="0.3">
      <c r="A54">
        <v>53</v>
      </c>
      <c r="B54" t="s">
        <v>219</v>
      </c>
      <c r="C54" t="s">
        <v>179</v>
      </c>
      <c r="D54">
        <v>13</v>
      </c>
      <c r="E54" t="s">
        <v>25</v>
      </c>
      <c r="F54" s="1">
        <v>44747</v>
      </c>
      <c r="G54" s="1">
        <v>44831</v>
      </c>
      <c r="H54">
        <v>2022</v>
      </c>
      <c r="I54">
        <v>7.9</v>
      </c>
      <c r="J54">
        <v>876543</v>
      </c>
      <c r="K54" t="s">
        <v>211</v>
      </c>
      <c r="L54">
        <v>4</v>
      </c>
      <c r="N54" t="s">
        <v>212</v>
      </c>
      <c r="P54" t="s">
        <v>213</v>
      </c>
      <c r="V54">
        <v>2</v>
      </c>
      <c r="W54" t="s">
        <v>215</v>
      </c>
    </row>
    <row r="55" spans="1:23" x14ac:dyDescent="0.3">
      <c r="A55">
        <v>54</v>
      </c>
      <c r="B55" t="s">
        <v>220</v>
      </c>
      <c r="C55" t="s">
        <v>221</v>
      </c>
      <c r="D55">
        <v>25</v>
      </c>
      <c r="E55" t="s">
        <v>25</v>
      </c>
      <c r="F55" s="1">
        <v>38996</v>
      </c>
      <c r="G55" s="1">
        <v>39292</v>
      </c>
      <c r="H55">
        <v>2006</v>
      </c>
      <c r="I55">
        <v>8.6999999999999993</v>
      </c>
      <c r="J55">
        <v>987654</v>
      </c>
      <c r="K55" t="s">
        <v>222</v>
      </c>
      <c r="L55">
        <v>6</v>
      </c>
      <c r="M55" t="s">
        <v>223</v>
      </c>
      <c r="N55" t="s">
        <v>224</v>
      </c>
      <c r="P55" t="s">
        <v>225</v>
      </c>
      <c r="Q55" t="s">
        <v>226</v>
      </c>
      <c r="V55">
        <v>4</v>
      </c>
      <c r="W55" t="s">
        <v>227</v>
      </c>
    </row>
    <row r="56" spans="1:23" x14ac:dyDescent="0.3">
      <c r="A56">
        <v>55</v>
      </c>
      <c r="B56" t="s">
        <v>228</v>
      </c>
      <c r="C56" t="s">
        <v>221</v>
      </c>
      <c r="D56">
        <v>25</v>
      </c>
      <c r="E56" t="s">
        <v>25</v>
      </c>
      <c r="F56" s="1">
        <v>39544</v>
      </c>
      <c r="G56" s="1">
        <v>39719</v>
      </c>
      <c r="H56">
        <v>2008</v>
      </c>
      <c r="I56">
        <v>9</v>
      </c>
      <c r="J56">
        <v>987654</v>
      </c>
      <c r="K56" t="s">
        <v>222</v>
      </c>
      <c r="L56">
        <v>6</v>
      </c>
      <c r="M56" t="s">
        <v>223</v>
      </c>
      <c r="N56" t="s">
        <v>224</v>
      </c>
      <c r="P56" t="s">
        <v>225</v>
      </c>
      <c r="Q56" t="s">
        <v>226</v>
      </c>
      <c r="V56">
        <v>4</v>
      </c>
      <c r="W56" t="s">
        <v>229</v>
      </c>
    </row>
    <row r="57" spans="1:23" x14ac:dyDescent="0.3">
      <c r="A57">
        <v>56</v>
      </c>
      <c r="B57" t="s">
        <v>230</v>
      </c>
      <c r="C57" t="s">
        <v>221</v>
      </c>
      <c r="D57">
        <v>26</v>
      </c>
      <c r="E57" t="s">
        <v>25</v>
      </c>
      <c r="F57" s="1">
        <v>35888</v>
      </c>
      <c r="G57" s="1">
        <v>36274</v>
      </c>
      <c r="H57">
        <v>1998</v>
      </c>
      <c r="I57">
        <v>8.8000000000000007</v>
      </c>
      <c r="J57">
        <v>876543</v>
      </c>
      <c r="K57" t="s">
        <v>231</v>
      </c>
      <c r="L57">
        <v>6</v>
      </c>
      <c r="M57" t="s">
        <v>232</v>
      </c>
      <c r="N57" t="s">
        <v>233</v>
      </c>
      <c r="P57" t="s">
        <v>234</v>
      </c>
      <c r="Q57" t="s">
        <v>235</v>
      </c>
      <c r="V57">
        <v>4</v>
      </c>
      <c r="W57" t="s">
        <v>236</v>
      </c>
    </row>
    <row r="58" spans="1:23" x14ac:dyDescent="0.3">
      <c r="A58">
        <v>57</v>
      </c>
      <c r="B58" t="s">
        <v>237</v>
      </c>
      <c r="C58" t="s">
        <v>221</v>
      </c>
      <c r="D58">
        <v>26</v>
      </c>
      <c r="E58" t="s">
        <v>25</v>
      </c>
      <c r="F58" s="1">
        <v>34976</v>
      </c>
      <c r="G58" s="1">
        <v>35151</v>
      </c>
      <c r="H58">
        <v>1995</v>
      </c>
      <c r="I58">
        <v>8.3000000000000007</v>
      </c>
      <c r="J58">
        <v>987654</v>
      </c>
      <c r="K58" t="s">
        <v>238</v>
      </c>
      <c r="L58">
        <v>5</v>
      </c>
      <c r="M58" t="s">
        <v>239</v>
      </c>
      <c r="V58">
        <v>1</v>
      </c>
      <c r="W58" t="s">
        <v>240</v>
      </c>
    </row>
    <row r="59" spans="1:23" x14ac:dyDescent="0.3">
      <c r="A59">
        <v>58</v>
      </c>
      <c r="B59" t="s">
        <v>241</v>
      </c>
      <c r="C59" t="s">
        <v>242</v>
      </c>
      <c r="D59">
        <v>1</v>
      </c>
      <c r="E59" t="s">
        <v>25</v>
      </c>
      <c r="F59" s="1">
        <v>35630</v>
      </c>
      <c r="G59" s="1">
        <v>35630</v>
      </c>
      <c r="H59">
        <v>1997</v>
      </c>
      <c r="I59">
        <v>8.6</v>
      </c>
      <c r="J59">
        <v>876543</v>
      </c>
      <c r="K59" t="s">
        <v>238</v>
      </c>
      <c r="L59">
        <v>5</v>
      </c>
      <c r="M59" t="s">
        <v>239</v>
      </c>
      <c r="V59">
        <v>1</v>
      </c>
      <c r="W59" t="s">
        <v>243</v>
      </c>
    </row>
    <row r="60" spans="1:23" x14ac:dyDescent="0.3">
      <c r="A60">
        <v>59</v>
      </c>
      <c r="B60" t="s">
        <v>244</v>
      </c>
      <c r="C60" t="s">
        <v>64</v>
      </c>
      <c r="D60">
        <v>25</v>
      </c>
      <c r="E60" t="s">
        <v>25</v>
      </c>
      <c r="F60" s="1">
        <v>35711</v>
      </c>
      <c r="G60" s="1">
        <v>35886</v>
      </c>
      <c r="H60">
        <v>1997</v>
      </c>
      <c r="I60">
        <v>8.4</v>
      </c>
      <c r="J60">
        <v>765432</v>
      </c>
      <c r="K60" t="s">
        <v>245</v>
      </c>
      <c r="L60">
        <v>7</v>
      </c>
      <c r="N60" t="s">
        <v>246</v>
      </c>
      <c r="V60">
        <v>1</v>
      </c>
      <c r="W60" t="s">
        <v>247</v>
      </c>
    </row>
    <row r="61" spans="1:23" x14ac:dyDescent="0.3">
      <c r="A61">
        <v>60</v>
      </c>
      <c r="B61" t="s">
        <v>244</v>
      </c>
      <c r="C61" t="s">
        <v>64</v>
      </c>
      <c r="D61">
        <v>12</v>
      </c>
      <c r="E61" t="s">
        <v>25</v>
      </c>
      <c r="F61" s="1">
        <v>42552</v>
      </c>
      <c r="G61" s="1">
        <v>42629</v>
      </c>
      <c r="H61">
        <v>2016</v>
      </c>
      <c r="I61">
        <v>6.3</v>
      </c>
      <c r="J61">
        <v>654321</v>
      </c>
      <c r="K61" t="s">
        <v>245</v>
      </c>
      <c r="L61">
        <v>7</v>
      </c>
      <c r="N61" t="s">
        <v>246</v>
      </c>
      <c r="V61">
        <v>1</v>
      </c>
      <c r="W61" t="s">
        <v>247</v>
      </c>
    </row>
    <row r="62" spans="1:23" x14ac:dyDescent="0.3">
      <c r="A62">
        <v>61</v>
      </c>
      <c r="B62" t="s">
        <v>244</v>
      </c>
      <c r="C62" t="s">
        <v>64</v>
      </c>
      <c r="D62">
        <v>12</v>
      </c>
      <c r="E62" t="s">
        <v>25</v>
      </c>
      <c r="F62" s="1">
        <v>42832</v>
      </c>
      <c r="G62" s="1">
        <v>42909</v>
      </c>
      <c r="H62">
        <v>2017</v>
      </c>
      <c r="I62">
        <v>6.5</v>
      </c>
      <c r="J62">
        <v>654321</v>
      </c>
      <c r="K62" t="s">
        <v>245</v>
      </c>
      <c r="L62">
        <v>7</v>
      </c>
      <c r="N62" t="s">
        <v>246</v>
      </c>
      <c r="V62">
        <v>1</v>
      </c>
      <c r="W62" t="s">
        <v>247</v>
      </c>
    </row>
    <row r="63" spans="1:23" x14ac:dyDescent="0.3">
      <c r="A63">
        <v>62</v>
      </c>
      <c r="B63" t="s">
        <v>248</v>
      </c>
      <c r="C63" t="s">
        <v>24</v>
      </c>
      <c r="D63">
        <v>26</v>
      </c>
      <c r="E63" t="s">
        <v>25</v>
      </c>
      <c r="F63" s="1">
        <v>41188</v>
      </c>
      <c r="G63" s="1">
        <v>41370</v>
      </c>
      <c r="H63">
        <v>2012</v>
      </c>
      <c r="I63">
        <v>7.8</v>
      </c>
      <c r="J63">
        <v>1234567</v>
      </c>
      <c r="K63" t="s">
        <v>249</v>
      </c>
      <c r="L63">
        <v>3</v>
      </c>
      <c r="M63" t="s">
        <v>250</v>
      </c>
      <c r="N63" t="s">
        <v>251</v>
      </c>
      <c r="V63">
        <v>2</v>
      </c>
      <c r="W63" t="s">
        <v>252</v>
      </c>
    </row>
    <row r="64" spans="1:23" x14ac:dyDescent="0.3">
      <c r="A64">
        <v>63</v>
      </c>
      <c r="B64" t="s">
        <v>253</v>
      </c>
      <c r="C64" t="s">
        <v>24</v>
      </c>
      <c r="D64">
        <v>48</v>
      </c>
      <c r="E64" t="s">
        <v>25</v>
      </c>
      <c r="F64" s="1">
        <v>41734</v>
      </c>
      <c r="G64" s="1">
        <v>42175</v>
      </c>
      <c r="H64">
        <v>2014</v>
      </c>
      <c r="I64">
        <v>8.1999999999999993</v>
      </c>
      <c r="J64">
        <v>1234567</v>
      </c>
      <c r="K64" t="s">
        <v>249</v>
      </c>
      <c r="L64">
        <v>3</v>
      </c>
      <c r="M64" t="s">
        <v>250</v>
      </c>
      <c r="N64" t="s">
        <v>254</v>
      </c>
      <c r="V64">
        <v>2</v>
      </c>
      <c r="W64" t="s">
        <v>255</v>
      </c>
    </row>
    <row r="65" spans="1:23" x14ac:dyDescent="0.3">
      <c r="A65">
        <v>64</v>
      </c>
      <c r="B65" t="s">
        <v>256</v>
      </c>
      <c r="C65" t="s">
        <v>24</v>
      </c>
      <c r="D65">
        <v>39</v>
      </c>
      <c r="E65" t="s">
        <v>25</v>
      </c>
      <c r="F65" s="1">
        <v>42462</v>
      </c>
      <c r="G65" s="1">
        <v>42728</v>
      </c>
      <c r="H65">
        <v>2016</v>
      </c>
      <c r="I65">
        <v>8.3000000000000007</v>
      </c>
      <c r="J65">
        <v>1234567</v>
      </c>
      <c r="K65" t="s">
        <v>249</v>
      </c>
      <c r="L65">
        <v>3</v>
      </c>
      <c r="M65" t="s">
        <v>250</v>
      </c>
      <c r="N65" t="s">
        <v>257</v>
      </c>
      <c r="V65">
        <v>2</v>
      </c>
      <c r="W65" t="s">
        <v>258</v>
      </c>
    </row>
    <row r="66" spans="1:23" x14ac:dyDescent="0.3">
      <c r="A66">
        <v>65</v>
      </c>
      <c r="B66" t="s">
        <v>259</v>
      </c>
      <c r="C66" t="s">
        <v>24</v>
      </c>
      <c r="D66">
        <v>39</v>
      </c>
      <c r="E66" t="s">
        <v>25</v>
      </c>
      <c r="F66" s="1">
        <v>43379</v>
      </c>
      <c r="G66" s="1">
        <v>43674</v>
      </c>
      <c r="H66">
        <v>2018</v>
      </c>
      <c r="I66">
        <v>8.6</v>
      </c>
      <c r="J66">
        <v>1234567</v>
      </c>
      <c r="K66" t="s">
        <v>249</v>
      </c>
      <c r="L66">
        <v>3</v>
      </c>
      <c r="M66" t="s">
        <v>250</v>
      </c>
      <c r="N66" t="s">
        <v>260</v>
      </c>
      <c r="V66">
        <v>2</v>
      </c>
      <c r="W66" t="s">
        <v>261</v>
      </c>
    </row>
    <row r="67" spans="1:23" x14ac:dyDescent="0.3">
      <c r="A67">
        <v>66</v>
      </c>
      <c r="B67" t="s">
        <v>262</v>
      </c>
      <c r="C67" t="s">
        <v>24</v>
      </c>
      <c r="D67">
        <v>38</v>
      </c>
      <c r="E67" t="s">
        <v>25</v>
      </c>
      <c r="F67" s="1">
        <v>44531</v>
      </c>
      <c r="G67" s="1">
        <v>44896</v>
      </c>
      <c r="H67">
        <v>2021</v>
      </c>
      <c r="I67">
        <v>8.5</v>
      </c>
      <c r="J67">
        <v>1234567</v>
      </c>
      <c r="K67" t="s">
        <v>249</v>
      </c>
      <c r="L67">
        <v>3</v>
      </c>
      <c r="M67" t="s">
        <v>250</v>
      </c>
      <c r="V67">
        <v>1</v>
      </c>
      <c r="W67" t="s">
        <v>263</v>
      </c>
    </row>
    <row r="68" spans="1:23" x14ac:dyDescent="0.3">
      <c r="A68">
        <v>67</v>
      </c>
      <c r="B68" t="s">
        <v>264</v>
      </c>
      <c r="C68" t="s">
        <v>24</v>
      </c>
      <c r="D68">
        <v>25</v>
      </c>
      <c r="E68" t="s">
        <v>25</v>
      </c>
      <c r="F68" s="1">
        <v>41735</v>
      </c>
      <c r="G68" s="1">
        <v>41903</v>
      </c>
      <c r="H68">
        <v>2014</v>
      </c>
      <c r="I68">
        <v>8.4</v>
      </c>
      <c r="J68">
        <v>987654</v>
      </c>
      <c r="K68" t="s">
        <v>265</v>
      </c>
      <c r="L68">
        <v>4</v>
      </c>
      <c r="M68" t="s">
        <v>266</v>
      </c>
      <c r="N68" t="s">
        <v>267</v>
      </c>
      <c r="V68">
        <v>2</v>
      </c>
      <c r="W68" t="s">
        <v>268</v>
      </c>
    </row>
    <row r="69" spans="1:23" x14ac:dyDescent="0.3">
      <c r="A69">
        <v>68</v>
      </c>
      <c r="B69" t="s">
        <v>269</v>
      </c>
      <c r="C69" t="s">
        <v>24</v>
      </c>
      <c r="D69">
        <v>25</v>
      </c>
      <c r="E69" t="s">
        <v>25</v>
      </c>
      <c r="F69" s="1">
        <v>42281</v>
      </c>
      <c r="G69" s="1">
        <v>42456</v>
      </c>
      <c r="H69">
        <v>2015</v>
      </c>
      <c r="I69">
        <v>8.6</v>
      </c>
      <c r="J69">
        <v>987654</v>
      </c>
      <c r="K69" t="s">
        <v>265</v>
      </c>
      <c r="L69">
        <v>4</v>
      </c>
      <c r="M69" t="s">
        <v>270</v>
      </c>
      <c r="N69" t="s">
        <v>267</v>
      </c>
      <c r="V69">
        <v>2</v>
      </c>
      <c r="W69" t="s">
        <v>271</v>
      </c>
    </row>
    <row r="70" spans="1:23" x14ac:dyDescent="0.3">
      <c r="A70">
        <v>69</v>
      </c>
      <c r="B70" t="s">
        <v>272</v>
      </c>
      <c r="C70" t="s">
        <v>24</v>
      </c>
      <c r="D70">
        <v>10</v>
      </c>
      <c r="E70" t="s">
        <v>25</v>
      </c>
      <c r="F70" s="1">
        <v>42651</v>
      </c>
      <c r="G70" s="1">
        <v>42714</v>
      </c>
      <c r="H70">
        <v>2016</v>
      </c>
      <c r="I70">
        <v>8.9</v>
      </c>
      <c r="J70">
        <v>987654</v>
      </c>
      <c r="K70" t="s">
        <v>265</v>
      </c>
      <c r="L70">
        <v>4</v>
      </c>
      <c r="M70" t="s">
        <v>273</v>
      </c>
      <c r="N70" t="s">
        <v>267</v>
      </c>
      <c r="V70">
        <v>2</v>
      </c>
      <c r="W70" t="s">
        <v>274</v>
      </c>
    </row>
    <row r="71" spans="1:23" x14ac:dyDescent="0.3">
      <c r="A71">
        <v>70</v>
      </c>
      <c r="B71" t="s">
        <v>275</v>
      </c>
      <c r="C71" t="s">
        <v>24</v>
      </c>
      <c r="D71">
        <v>25</v>
      </c>
      <c r="E71" t="s">
        <v>25</v>
      </c>
      <c r="F71" s="1">
        <v>43840</v>
      </c>
      <c r="G71" s="1">
        <v>44108</v>
      </c>
      <c r="H71">
        <v>2020</v>
      </c>
      <c r="I71">
        <v>8.8000000000000007</v>
      </c>
      <c r="J71">
        <v>987654</v>
      </c>
      <c r="K71" t="s">
        <v>265</v>
      </c>
      <c r="L71">
        <v>4</v>
      </c>
      <c r="M71" t="s">
        <v>276</v>
      </c>
      <c r="N71" t="s">
        <v>267</v>
      </c>
      <c r="V71">
        <v>2</v>
      </c>
      <c r="W71" t="s">
        <v>277</v>
      </c>
    </row>
    <row r="72" spans="1:23" x14ac:dyDescent="0.3">
      <c r="A72">
        <v>71</v>
      </c>
      <c r="B72" t="s">
        <v>278</v>
      </c>
      <c r="C72" t="s">
        <v>24</v>
      </c>
      <c r="D72">
        <v>25</v>
      </c>
      <c r="E72" t="s">
        <v>25</v>
      </c>
      <c r="F72" s="1">
        <v>41007</v>
      </c>
      <c r="G72" s="1">
        <v>41175</v>
      </c>
      <c r="H72">
        <v>2012</v>
      </c>
      <c r="I72">
        <v>8.1</v>
      </c>
      <c r="J72">
        <v>876543</v>
      </c>
      <c r="K72" t="s">
        <v>279</v>
      </c>
      <c r="L72">
        <v>3</v>
      </c>
      <c r="M72" t="s">
        <v>280</v>
      </c>
      <c r="N72" t="s">
        <v>281</v>
      </c>
      <c r="V72">
        <v>2</v>
      </c>
      <c r="W72" t="s">
        <v>282</v>
      </c>
    </row>
    <row r="73" spans="1:23" x14ac:dyDescent="0.3">
      <c r="A73">
        <v>72</v>
      </c>
      <c r="B73" t="s">
        <v>283</v>
      </c>
      <c r="C73" t="s">
        <v>24</v>
      </c>
      <c r="D73">
        <v>25</v>
      </c>
      <c r="E73" t="s">
        <v>25</v>
      </c>
      <c r="F73" s="1">
        <v>41553</v>
      </c>
      <c r="G73" s="1">
        <v>41728</v>
      </c>
      <c r="H73">
        <v>2013</v>
      </c>
      <c r="I73">
        <v>8.4</v>
      </c>
      <c r="J73">
        <v>876543</v>
      </c>
      <c r="K73" t="s">
        <v>279</v>
      </c>
      <c r="L73">
        <v>3</v>
      </c>
      <c r="M73" t="s">
        <v>284</v>
      </c>
      <c r="N73" t="s">
        <v>281</v>
      </c>
      <c r="V73">
        <v>2</v>
      </c>
      <c r="W73" t="s">
        <v>285</v>
      </c>
    </row>
    <row r="74" spans="1:23" x14ac:dyDescent="0.3">
      <c r="A74">
        <v>73</v>
      </c>
      <c r="B74" t="s">
        <v>286</v>
      </c>
      <c r="C74" t="s">
        <v>24</v>
      </c>
      <c r="D74">
        <v>25</v>
      </c>
      <c r="E74" t="s">
        <v>25</v>
      </c>
      <c r="F74" s="1">
        <v>42015</v>
      </c>
      <c r="G74" s="1">
        <v>42184</v>
      </c>
      <c r="H74">
        <v>2015</v>
      </c>
      <c r="I74">
        <v>8.6999999999999993</v>
      </c>
      <c r="J74">
        <v>876543</v>
      </c>
      <c r="K74" t="s">
        <v>279</v>
      </c>
      <c r="L74">
        <v>3</v>
      </c>
      <c r="M74" t="s">
        <v>162</v>
      </c>
      <c r="N74" t="s">
        <v>281</v>
      </c>
      <c r="V74">
        <v>2</v>
      </c>
      <c r="W74" t="s">
        <v>287</v>
      </c>
    </row>
    <row r="75" spans="1:23" x14ac:dyDescent="0.3">
      <c r="A75">
        <v>74</v>
      </c>
      <c r="B75" t="s">
        <v>288</v>
      </c>
      <c r="C75" t="s">
        <v>24</v>
      </c>
      <c r="D75">
        <v>24</v>
      </c>
      <c r="E75" t="s">
        <v>25</v>
      </c>
      <c r="F75" s="1">
        <v>44843</v>
      </c>
      <c r="G75" s="1">
        <v>45011</v>
      </c>
      <c r="H75">
        <v>2022</v>
      </c>
      <c r="I75">
        <v>8.3000000000000007</v>
      </c>
      <c r="J75">
        <v>987654</v>
      </c>
      <c r="K75" t="s">
        <v>289</v>
      </c>
      <c r="L75">
        <v>3</v>
      </c>
      <c r="N75" t="s">
        <v>290</v>
      </c>
      <c r="V75">
        <v>1</v>
      </c>
      <c r="W75" t="s">
        <v>291</v>
      </c>
    </row>
    <row r="76" spans="1:23" x14ac:dyDescent="0.3">
      <c r="A76">
        <v>75</v>
      </c>
      <c r="B76" t="s">
        <v>292</v>
      </c>
      <c r="C76" t="s">
        <v>24</v>
      </c>
      <c r="D76">
        <v>24</v>
      </c>
      <c r="E76" t="s">
        <v>25</v>
      </c>
      <c r="F76" s="1">
        <v>43651</v>
      </c>
      <c r="G76" s="1">
        <v>43812</v>
      </c>
      <c r="H76">
        <v>2019</v>
      </c>
      <c r="I76">
        <v>8.1999999999999993</v>
      </c>
      <c r="J76">
        <v>876543</v>
      </c>
      <c r="K76" t="s">
        <v>293</v>
      </c>
      <c r="L76">
        <v>3</v>
      </c>
      <c r="N76" t="s">
        <v>294</v>
      </c>
      <c r="Q76" t="s">
        <v>295</v>
      </c>
      <c r="V76">
        <v>2</v>
      </c>
      <c r="W76" t="s">
        <v>296</v>
      </c>
    </row>
    <row r="77" spans="1:23" x14ac:dyDescent="0.3">
      <c r="A77">
        <v>76</v>
      </c>
      <c r="B77" t="s">
        <v>297</v>
      </c>
      <c r="C77" t="s">
        <v>24</v>
      </c>
      <c r="D77">
        <v>25</v>
      </c>
      <c r="E77" t="s">
        <v>46</v>
      </c>
      <c r="F77" s="1">
        <v>44660</v>
      </c>
      <c r="G77" t="s">
        <v>484</v>
      </c>
      <c r="H77">
        <v>2022</v>
      </c>
      <c r="I77">
        <v>8.6999999999999993</v>
      </c>
      <c r="J77">
        <v>1456789</v>
      </c>
      <c r="K77" t="s">
        <v>298</v>
      </c>
      <c r="L77">
        <v>3</v>
      </c>
      <c r="N77" t="s">
        <v>299</v>
      </c>
      <c r="P77" t="s">
        <v>300</v>
      </c>
      <c r="V77">
        <v>2</v>
      </c>
      <c r="W77" t="s">
        <v>301</v>
      </c>
    </row>
    <row r="78" spans="1:23" x14ac:dyDescent="0.3">
      <c r="A78">
        <v>77</v>
      </c>
      <c r="B78" t="s">
        <v>302</v>
      </c>
      <c r="C78" t="s">
        <v>24</v>
      </c>
      <c r="D78">
        <v>12</v>
      </c>
      <c r="E78" t="s">
        <v>25</v>
      </c>
      <c r="F78" s="1">
        <v>42563</v>
      </c>
      <c r="G78" s="1">
        <v>42640</v>
      </c>
      <c r="H78">
        <v>2016</v>
      </c>
      <c r="I78">
        <v>8.5</v>
      </c>
      <c r="J78">
        <v>987654</v>
      </c>
      <c r="K78" t="s">
        <v>303</v>
      </c>
      <c r="L78">
        <v>3</v>
      </c>
      <c r="N78" t="s">
        <v>304</v>
      </c>
      <c r="Q78" t="s">
        <v>305</v>
      </c>
      <c r="V78">
        <v>2</v>
      </c>
      <c r="W78" t="s">
        <v>306</v>
      </c>
    </row>
    <row r="79" spans="1:23" x14ac:dyDescent="0.3">
      <c r="A79">
        <v>78</v>
      </c>
      <c r="B79" t="s">
        <v>307</v>
      </c>
      <c r="C79" t="s">
        <v>24</v>
      </c>
      <c r="D79">
        <v>13</v>
      </c>
      <c r="E79" t="s">
        <v>25</v>
      </c>
      <c r="F79" s="1">
        <v>43472</v>
      </c>
      <c r="G79" s="1">
        <v>43556</v>
      </c>
      <c r="H79">
        <v>2019</v>
      </c>
      <c r="I79">
        <v>8.9</v>
      </c>
      <c r="J79">
        <v>987654</v>
      </c>
      <c r="K79" t="s">
        <v>303</v>
      </c>
      <c r="L79">
        <v>3</v>
      </c>
      <c r="N79" t="s">
        <v>304</v>
      </c>
      <c r="Q79" t="s">
        <v>305</v>
      </c>
      <c r="V79">
        <v>2</v>
      </c>
      <c r="W79" t="s">
        <v>308</v>
      </c>
    </row>
    <row r="80" spans="1:23" x14ac:dyDescent="0.3">
      <c r="A80">
        <v>79</v>
      </c>
      <c r="B80" t="s">
        <v>309</v>
      </c>
      <c r="C80" t="s">
        <v>24</v>
      </c>
      <c r="D80">
        <v>12</v>
      </c>
      <c r="E80" t="s">
        <v>25</v>
      </c>
      <c r="F80" s="1">
        <v>44840</v>
      </c>
      <c r="G80" s="1">
        <v>44917</v>
      </c>
      <c r="H80">
        <v>2022</v>
      </c>
      <c r="I80">
        <v>9.1</v>
      </c>
      <c r="J80">
        <v>987654</v>
      </c>
      <c r="K80" t="s">
        <v>303</v>
      </c>
      <c r="L80">
        <v>3</v>
      </c>
      <c r="N80" t="s">
        <v>304</v>
      </c>
      <c r="V80">
        <v>1</v>
      </c>
      <c r="W80" t="s">
        <v>310</v>
      </c>
    </row>
    <row r="81" spans="1:23" x14ac:dyDescent="0.3">
      <c r="A81">
        <v>80</v>
      </c>
      <c r="B81" t="s">
        <v>311</v>
      </c>
      <c r="C81" t="s">
        <v>24</v>
      </c>
      <c r="D81">
        <v>12</v>
      </c>
      <c r="E81" t="s">
        <v>25</v>
      </c>
      <c r="F81" s="1">
        <v>43475</v>
      </c>
      <c r="G81" s="1">
        <v>43553</v>
      </c>
      <c r="H81">
        <v>2019</v>
      </c>
      <c r="I81">
        <v>8.6</v>
      </c>
      <c r="J81">
        <v>1234567</v>
      </c>
      <c r="K81" t="s">
        <v>312</v>
      </c>
      <c r="L81">
        <v>4</v>
      </c>
      <c r="N81" t="s">
        <v>313</v>
      </c>
      <c r="P81" t="s">
        <v>314</v>
      </c>
      <c r="V81">
        <v>2</v>
      </c>
      <c r="W81" t="s">
        <v>315</v>
      </c>
    </row>
    <row r="82" spans="1:23" x14ac:dyDescent="0.3">
      <c r="A82">
        <v>81</v>
      </c>
      <c r="B82" t="s">
        <v>316</v>
      </c>
      <c r="C82" t="s">
        <v>24</v>
      </c>
      <c r="D82">
        <v>11</v>
      </c>
      <c r="E82" t="s">
        <v>25</v>
      </c>
      <c r="F82" s="1">
        <v>44204</v>
      </c>
      <c r="G82" s="1">
        <v>44281</v>
      </c>
      <c r="H82">
        <v>2021</v>
      </c>
      <c r="I82">
        <v>6.8</v>
      </c>
      <c r="J82">
        <v>987654</v>
      </c>
      <c r="K82" t="s">
        <v>312</v>
      </c>
      <c r="L82">
        <v>4</v>
      </c>
      <c r="N82" t="s">
        <v>317</v>
      </c>
      <c r="P82" t="s">
        <v>318</v>
      </c>
      <c r="V82">
        <v>2</v>
      </c>
      <c r="W82" t="s">
        <v>319</v>
      </c>
    </row>
    <row r="83" spans="1:23" x14ac:dyDescent="0.3">
      <c r="A83">
        <v>82</v>
      </c>
      <c r="B83" t="s">
        <v>320</v>
      </c>
      <c r="C83" t="s">
        <v>24</v>
      </c>
      <c r="D83">
        <v>24</v>
      </c>
      <c r="E83" t="s">
        <v>25</v>
      </c>
      <c r="F83" s="1">
        <v>43652</v>
      </c>
      <c r="G83" s="1">
        <v>43827</v>
      </c>
      <c r="H83">
        <v>2019</v>
      </c>
      <c r="I83">
        <v>7.7</v>
      </c>
      <c r="J83">
        <v>876543</v>
      </c>
      <c r="K83" t="s">
        <v>321</v>
      </c>
      <c r="L83">
        <v>2</v>
      </c>
      <c r="N83" t="s">
        <v>322</v>
      </c>
      <c r="Q83" t="s">
        <v>323</v>
      </c>
      <c r="V83">
        <v>2</v>
      </c>
      <c r="W83" t="s">
        <v>324</v>
      </c>
    </row>
    <row r="84" spans="1:23" x14ac:dyDescent="0.3">
      <c r="A84">
        <v>83</v>
      </c>
      <c r="B84" t="s">
        <v>325</v>
      </c>
      <c r="C84" t="s">
        <v>24</v>
      </c>
      <c r="D84">
        <v>24</v>
      </c>
      <c r="E84" t="s">
        <v>25</v>
      </c>
      <c r="F84" s="1">
        <v>44016</v>
      </c>
      <c r="G84" s="1">
        <v>44177</v>
      </c>
      <c r="H84">
        <v>2020</v>
      </c>
      <c r="I84">
        <v>8</v>
      </c>
      <c r="J84">
        <v>876543</v>
      </c>
      <c r="K84" t="s">
        <v>321</v>
      </c>
      <c r="L84">
        <v>2</v>
      </c>
      <c r="N84" t="s">
        <v>322</v>
      </c>
      <c r="Q84" t="s">
        <v>323</v>
      </c>
      <c r="V84">
        <v>2</v>
      </c>
      <c r="W84" t="s">
        <v>326</v>
      </c>
    </row>
    <row r="85" spans="1:23" x14ac:dyDescent="0.3">
      <c r="A85">
        <v>84</v>
      </c>
      <c r="B85" t="s">
        <v>327</v>
      </c>
      <c r="C85" t="s">
        <v>24</v>
      </c>
      <c r="D85">
        <v>51</v>
      </c>
      <c r="E85" t="s">
        <v>25</v>
      </c>
      <c r="F85" s="1">
        <v>39545</v>
      </c>
      <c r="G85" s="1">
        <v>39902</v>
      </c>
      <c r="H85">
        <v>2008</v>
      </c>
      <c r="I85">
        <v>7.8</v>
      </c>
      <c r="J85">
        <v>765432</v>
      </c>
      <c r="K85" t="s">
        <v>328</v>
      </c>
      <c r="L85">
        <v>4</v>
      </c>
      <c r="P85" t="s">
        <v>329</v>
      </c>
      <c r="Q85" t="s">
        <v>330</v>
      </c>
      <c r="V85">
        <v>2</v>
      </c>
      <c r="W85" t="s">
        <v>331</v>
      </c>
    </row>
    <row r="86" spans="1:23" x14ac:dyDescent="0.3">
      <c r="A86">
        <v>85</v>
      </c>
      <c r="B86" t="s">
        <v>332</v>
      </c>
      <c r="C86" t="s">
        <v>24</v>
      </c>
      <c r="D86">
        <v>12</v>
      </c>
      <c r="E86" t="s">
        <v>25</v>
      </c>
      <c r="F86" s="1">
        <v>41644</v>
      </c>
      <c r="G86" s="1">
        <v>41721</v>
      </c>
      <c r="H86">
        <v>2014</v>
      </c>
      <c r="I86">
        <v>7.9</v>
      </c>
      <c r="J86">
        <v>654321</v>
      </c>
      <c r="K86" t="s">
        <v>249</v>
      </c>
      <c r="L86">
        <v>3</v>
      </c>
      <c r="N86" t="s">
        <v>333</v>
      </c>
      <c r="P86" t="s">
        <v>334</v>
      </c>
      <c r="V86">
        <v>2</v>
      </c>
      <c r="W86" t="s">
        <v>335</v>
      </c>
    </row>
    <row r="87" spans="1:23" x14ac:dyDescent="0.3">
      <c r="A87">
        <v>86</v>
      </c>
      <c r="B87" t="s">
        <v>336</v>
      </c>
      <c r="C87" t="s">
        <v>24</v>
      </c>
      <c r="D87">
        <v>13</v>
      </c>
      <c r="E87" t="s">
        <v>25</v>
      </c>
      <c r="F87" s="1">
        <v>42280</v>
      </c>
      <c r="G87" s="1">
        <v>42364</v>
      </c>
      <c r="H87">
        <v>2015</v>
      </c>
      <c r="I87">
        <v>8.3000000000000007</v>
      </c>
      <c r="J87">
        <v>654321</v>
      </c>
      <c r="K87" t="s">
        <v>249</v>
      </c>
      <c r="L87">
        <v>3</v>
      </c>
      <c r="N87" t="s">
        <v>333</v>
      </c>
      <c r="P87" t="s">
        <v>337</v>
      </c>
      <c r="V87">
        <v>2</v>
      </c>
      <c r="W87" t="s">
        <v>338</v>
      </c>
    </row>
    <row r="88" spans="1:23" x14ac:dyDescent="0.3">
      <c r="A88">
        <v>87</v>
      </c>
      <c r="B88" t="s">
        <v>339</v>
      </c>
      <c r="C88" t="s">
        <v>64</v>
      </c>
      <c r="D88">
        <v>24</v>
      </c>
      <c r="E88" t="s">
        <v>25</v>
      </c>
      <c r="F88" s="1">
        <v>41921</v>
      </c>
      <c r="G88" s="1">
        <v>42089</v>
      </c>
      <c r="H88">
        <v>2014</v>
      </c>
      <c r="I88">
        <v>8.4</v>
      </c>
      <c r="J88">
        <v>876543</v>
      </c>
      <c r="K88" t="s">
        <v>340</v>
      </c>
      <c r="L88">
        <v>4</v>
      </c>
      <c r="N88" t="s">
        <v>341</v>
      </c>
      <c r="P88" t="s">
        <v>342</v>
      </c>
      <c r="V88">
        <v>2</v>
      </c>
      <c r="W88" t="s">
        <v>343</v>
      </c>
    </row>
    <row r="89" spans="1:23" x14ac:dyDescent="0.3">
      <c r="A89">
        <v>88</v>
      </c>
      <c r="B89" t="s">
        <v>344</v>
      </c>
      <c r="C89" t="s">
        <v>64</v>
      </c>
      <c r="D89">
        <v>22</v>
      </c>
      <c r="E89" t="s">
        <v>25</v>
      </c>
      <c r="F89" s="1">
        <v>41194</v>
      </c>
      <c r="G89" s="1">
        <v>41355</v>
      </c>
      <c r="H89">
        <v>2012</v>
      </c>
      <c r="I89">
        <v>8.3000000000000007</v>
      </c>
      <c r="J89">
        <v>765432</v>
      </c>
      <c r="K89" t="s">
        <v>345</v>
      </c>
      <c r="L89">
        <v>4</v>
      </c>
      <c r="N89" t="s">
        <v>346</v>
      </c>
      <c r="Q89" t="s">
        <v>347</v>
      </c>
      <c r="V89">
        <v>2</v>
      </c>
      <c r="W89" t="s">
        <v>348</v>
      </c>
    </row>
    <row r="90" spans="1:23" x14ac:dyDescent="0.3">
      <c r="A90">
        <v>89</v>
      </c>
      <c r="B90" t="s">
        <v>349</v>
      </c>
      <c r="C90" t="s">
        <v>64</v>
      </c>
      <c r="D90">
        <v>11</v>
      </c>
      <c r="E90" t="s">
        <v>25</v>
      </c>
      <c r="F90" s="1">
        <v>41922</v>
      </c>
      <c r="G90" s="1">
        <v>41992</v>
      </c>
      <c r="H90">
        <v>2014</v>
      </c>
      <c r="I90">
        <v>7.7</v>
      </c>
      <c r="J90">
        <v>654321</v>
      </c>
      <c r="K90" t="s">
        <v>345</v>
      </c>
      <c r="L90">
        <v>4</v>
      </c>
      <c r="N90" t="s">
        <v>346</v>
      </c>
      <c r="Q90" t="s">
        <v>347</v>
      </c>
      <c r="V90">
        <v>2</v>
      </c>
      <c r="W90" t="s">
        <v>350</v>
      </c>
    </row>
    <row r="91" spans="1:23" x14ac:dyDescent="0.3">
      <c r="A91">
        <v>90</v>
      </c>
      <c r="B91" t="s">
        <v>351</v>
      </c>
      <c r="C91" t="s">
        <v>64</v>
      </c>
      <c r="D91">
        <v>8</v>
      </c>
      <c r="E91" t="s">
        <v>25</v>
      </c>
      <c r="F91" s="1">
        <v>43763</v>
      </c>
      <c r="G91" s="1">
        <v>43812</v>
      </c>
      <c r="H91">
        <v>2019</v>
      </c>
      <c r="I91">
        <v>7.9</v>
      </c>
      <c r="J91">
        <v>543210</v>
      </c>
      <c r="K91" t="s">
        <v>345</v>
      </c>
      <c r="L91">
        <v>4</v>
      </c>
      <c r="O91" t="s">
        <v>352</v>
      </c>
      <c r="V91">
        <v>1</v>
      </c>
      <c r="W91" t="s">
        <v>353</v>
      </c>
    </row>
    <row r="92" spans="1:23" x14ac:dyDescent="0.3">
      <c r="A92">
        <v>91</v>
      </c>
      <c r="B92" t="s">
        <v>354</v>
      </c>
      <c r="C92" t="s">
        <v>64</v>
      </c>
      <c r="D92">
        <v>12</v>
      </c>
      <c r="E92" t="s">
        <v>25</v>
      </c>
      <c r="F92" s="1">
        <v>42377</v>
      </c>
      <c r="G92" s="1">
        <v>42454</v>
      </c>
      <c r="H92">
        <v>2016</v>
      </c>
      <c r="I92">
        <v>8.3000000000000007</v>
      </c>
      <c r="J92">
        <v>876543</v>
      </c>
      <c r="K92" t="s">
        <v>355</v>
      </c>
      <c r="L92">
        <v>3</v>
      </c>
      <c r="N92" t="s">
        <v>356</v>
      </c>
      <c r="P92" t="s">
        <v>357</v>
      </c>
      <c r="V92">
        <v>2</v>
      </c>
      <c r="W92" t="s">
        <v>358</v>
      </c>
    </row>
    <row r="93" spans="1:23" x14ac:dyDescent="0.3">
      <c r="A93">
        <v>92</v>
      </c>
      <c r="B93" t="s">
        <v>359</v>
      </c>
      <c r="C93" t="s">
        <v>64</v>
      </c>
      <c r="D93">
        <v>13</v>
      </c>
      <c r="E93" t="s">
        <v>25</v>
      </c>
      <c r="F93" s="1">
        <v>42923</v>
      </c>
      <c r="G93" s="1">
        <v>43007</v>
      </c>
      <c r="H93">
        <v>2017</v>
      </c>
      <c r="I93">
        <v>8.6999999999999993</v>
      </c>
      <c r="J93">
        <v>765432</v>
      </c>
      <c r="K93" t="s">
        <v>360</v>
      </c>
      <c r="L93">
        <v>5</v>
      </c>
      <c r="O93" t="s">
        <v>361</v>
      </c>
      <c r="T93" t="s">
        <v>362</v>
      </c>
      <c r="V93">
        <v>2</v>
      </c>
      <c r="W93" t="s">
        <v>363</v>
      </c>
    </row>
    <row r="94" spans="1:23" x14ac:dyDescent="0.3">
      <c r="A94">
        <v>93</v>
      </c>
      <c r="B94" t="s">
        <v>364</v>
      </c>
      <c r="C94" t="s">
        <v>242</v>
      </c>
      <c r="D94">
        <v>1</v>
      </c>
      <c r="E94" t="s">
        <v>25</v>
      </c>
      <c r="F94" s="1">
        <v>43847</v>
      </c>
      <c r="G94" s="1">
        <v>43847</v>
      </c>
      <c r="H94">
        <v>2020</v>
      </c>
      <c r="I94">
        <v>9</v>
      </c>
      <c r="J94">
        <v>654321</v>
      </c>
      <c r="K94" t="s">
        <v>360</v>
      </c>
      <c r="L94">
        <v>5</v>
      </c>
      <c r="O94" t="s">
        <v>365</v>
      </c>
      <c r="V94">
        <v>1</v>
      </c>
      <c r="W94" t="s">
        <v>366</v>
      </c>
    </row>
    <row r="95" spans="1:23" x14ac:dyDescent="0.3">
      <c r="A95">
        <v>94</v>
      </c>
      <c r="B95" t="s">
        <v>367</v>
      </c>
      <c r="C95" t="s">
        <v>64</v>
      </c>
      <c r="D95">
        <v>12</v>
      </c>
      <c r="E95" t="s">
        <v>25</v>
      </c>
      <c r="F95" s="1">
        <v>44748</v>
      </c>
      <c r="G95" s="1">
        <v>44832</v>
      </c>
      <c r="H95">
        <v>2022</v>
      </c>
      <c r="I95">
        <v>9.1</v>
      </c>
      <c r="J95">
        <v>765432</v>
      </c>
      <c r="K95" t="s">
        <v>360</v>
      </c>
      <c r="L95">
        <v>5</v>
      </c>
      <c r="T95" t="s">
        <v>368</v>
      </c>
      <c r="V95">
        <v>1</v>
      </c>
      <c r="W95" t="s">
        <v>369</v>
      </c>
    </row>
    <row r="96" spans="1:23" x14ac:dyDescent="0.3">
      <c r="A96">
        <v>95</v>
      </c>
      <c r="B96" t="s">
        <v>370</v>
      </c>
      <c r="C96" t="s">
        <v>179</v>
      </c>
      <c r="D96">
        <v>13</v>
      </c>
      <c r="E96" t="s">
        <v>25</v>
      </c>
      <c r="F96" s="1">
        <v>41368</v>
      </c>
      <c r="G96" s="1">
        <v>41452</v>
      </c>
      <c r="H96">
        <v>2013</v>
      </c>
      <c r="I96">
        <v>7.8</v>
      </c>
      <c r="J96">
        <v>654321</v>
      </c>
      <c r="K96" t="s">
        <v>371</v>
      </c>
      <c r="L96">
        <v>2</v>
      </c>
      <c r="N96" t="s">
        <v>372</v>
      </c>
      <c r="Q96" t="s">
        <v>373</v>
      </c>
      <c r="V96">
        <v>2</v>
      </c>
      <c r="W96" t="s">
        <v>374</v>
      </c>
    </row>
    <row r="97" spans="1:23" x14ac:dyDescent="0.3">
      <c r="A97">
        <v>96</v>
      </c>
      <c r="B97" t="s">
        <v>375</v>
      </c>
      <c r="C97" t="s">
        <v>179</v>
      </c>
      <c r="D97">
        <v>12</v>
      </c>
      <c r="E97" t="s">
        <v>25</v>
      </c>
      <c r="F97" s="1">
        <v>44756</v>
      </c>
      <c r="G97" s="1">
        <v>44833</v>
      </c>
      <c r="H97">
        <v>2022</v>
      </c>
      <c r="I97">
        <v>7.5</v>
      </c>
      <c r="J97">
        <v>543210</v>
      </c>
      <c r="K97" t="s">
        <v>371</v>
      </c>
      <c r="L97">
        <v>2</v>
      </c>
      <c r="N97" t="s">
        <v>372</v>
      </c>
      <c r="V97">
        <v>1</v>
      </c>
      <c r="W97" t="s">
        <v>376</v>
      </c>
    </row>
    <row r="98" spans="1:23" x14ac:dyDescent="0.3">
      <c r="A98">
        <v>97</v>
      </c>
      <c r="B98" t="s">
        <v>377</v>
      </c>
      <c r="C98" t="s">
        <v>179</v>
      </c>
      <c r="D98">
        <v>12</v>
      </c>
      <c r="E98" t="s">
        <v>25</v>
      </c>
      <c r="F98" s="1">
        <v>41738</v>
      </c>
      <c r="G98" s="1">
        <v>41815</v>
      </c>
      <c r="H98">
        <v>2014</v>
      </c>
      <c r="I98">
        <v>8.1</v>
      </c>
      <c r="J98">
        <v>876543</v>
      </c>
      <c r="K98" t="s">
        <v>378</v>
      </c>
      <c r="L98">
        <v>4</v>
      </c>
      <c r="T98" t="s">
        <v>379</v>
      </c>
      <c r="V98">
        <v>1</v>
      </c>
      <c r="W98" t="s">
        <v>380</v>
      </c>
    </row>
    <row r="99" spans="1:23" x14ac:dyDescent="0.3">
      <c r="A99">
        <v>98</v>
      </c>
      <c r="B99" t="s">
        <v>381</v>
      </c>
      <c r="C99" t="s">
        <v>242</v>
      </c>
      <c r="D99">
        <v>1</v>
      </c>
      <c r="E99" t="s">
        <v>25</v>
      </c>
      <c r="F99" s="1">
        <v>42931</v>
      </c>
      <c r="G99" s="1">
        <v>42931</v>
      </c>
      <c r="H99">
        <v>2017</v>
      </c>
      <c r="I99">
        <v>8.4</v>
      </c>
      <c r="J99">
        <v>765432</v>
      </c>
      <c r="K99" t="s">
        <v>382</v>
      </c>
      <c r="L99">
        <v>4</v>
      </c>
      <c r="T99" t="s">
        <v>383</v>
      </c>
      <c r="V99">
        <v>1</v>
      </c>
      <c r="W99" t="s">
        <v>384</v>
      </c>
    </row>
    <row r="100" spans="1:23" x14ac:dyDescent="0.3">
      <c r="A100">
        <v>99</v>
      </c>
      <c r="B100" t="s">
        <v>385</v>
      </c>
      <c r="C100" t="s">
        <v>179</v>
      </c>
      <c r="D100">
        <v>10</v>
      </c>
      <c r="E100" t="s">
        <v>25</v>
      </c>
      <c r="F100" s="1">
        <v>42383</v>
      </c>
      <c r="G100" s="1">
        <v>42446</v>
      </c>
      <c r="H100">
        <v>2016</v>
      </c>
      <c r="I100">
        <v>8</v>
      </c>
      <c r="J100">
        <v>876543</v>
      </c>
      <c r="K100" t="s">
        <v>386</v>
      </c>
      <c r="L100">
        <v>4</v>
      </c>
      <c r="N100" t="s">
        <v>387</v>
      </c>
      <c r="V100">
        <v>1</v>
      </c>
      <c r="W100" t="s">
        <v>388</v>
      </c>
    </row>
    <row r="101" spans="1:23" x14ac:dyDescent="0.3">
      <c r="A101">
        <v>100</v>
      </c>
      <c r="B101" t="s">
        <v>389</v>
      </c>
      <c r="C101" t="s">
        <v>179</v>
      </c>
      <c r="D101">
        <v>10</v>
      </c>
      <c r="E101" t="s">
        <v>25</v>
      </c>
      <c r="F101" s="1">
        <v>42747</v>
      </c>
      <c r="G101" s="1">
        <v>42810</v>
      </c>
      <c r="H101">
        <v>2017</v>
      </c>
      <c r="I101">
        <v>8.1999999999999993</v>
      </c>
      <c r="J101">
        <v>876543</v>
      </c>
      <c r="K101" t="s">
        <v>386</v>
      </c>
      <c r="L101">
        <v>4</v>
      </c>
      <c r="N101" t="s">
        <v>387</v>
      </c>
      <c r="V101">
        <v>1</v>
      </c>
      <c r="W101" t="s">
        <v>390</v>
      </c>
    </row>
    <row r="102" spans="1:23" x14ac:dyDescent="0.3">
      <c r="A102">
        <v>101</v>
      </c>
      <c r="B102" t="s">
        <v>391</v>
      </c>
      <c r="C102" t="s">
        <v>242</v>
      </c>
      <c r="D102">
        <v>1</v>
      </c>
      <c r="E102" t="s">
        <v>25</v>
      </c>
      <c r="F102" s="1">
        <v>43707</v>
      </c>
      <c r="G102" s="1">
        <v>43707</v>
      </c>
      <c r="H102">
        <v>2019</v>
      </c>
      <c r="I102">
        <v>8.4</v>
      </c>
      <c r="J102">
        <v>765432</v>
      </c>
      <c r="K102" t="s">
        <v>386</v>
      </c>
      <c r="L102">
        <v>4</v>
      </c>
      <c r="N102" t="s">
        <v>392</v>
      </c>
      <c r="V102">
        <v>1</v>
      </c>
      <c r="W102" t="s">
        <v>393</v>
      </c>
    </row>
    <row r="103" spans="1:23" x14ac:dyDescent="0.3">
      <c r="A103">
        <v>102</v>
      </c>
      <c r="B103" t="s">
        <v>394</v>
      </c>
      <c r="C103" t="s">
        <v>179</v>
      </c>
      <c r="D103">
        <v>12</v>
      </c>
      <c r="E103" t="s">
        <v>25</v>
      </c>
      <c r="F103" s="1">
        <v>45022</v>
      </c>
      <c r="G103" s="1">
        <v>45099</v>
      </c>
      <c r="H103">
        <v>2023</v>
      </c>
      <c r="I103">
        <v>8.1</v>
      </c>
      <c r="J103">
        <v>654321</v>
      </c>
      <c r="K103" t="s">
        <v>395</v>
      </c>
      <c r="L103">
        <v>3</v>
      </c>
      <c r="N103" t="s">
        <v>396</v>
      </c>
      <c r="V103">
        <v>1</v>
      </c>
      <c r="W103" t="s">
        <v>397</v>
      </c>
    </row>
    <row r="104" spans="1:23" x14ac:dyDescent="0.3">
      <c r="A104">
        <v>103</v>
      </c>
      <c r="B104" t="s">
        <v>398</v>
      </c>
      <c r="C104" t="s">
        <v>179</v>
      </c>
      <c r="D104">
        <v>12</v>
      </c>
      <c r="E104" t="s">
        <v>25</v>
      </c>
      <c r="F104" s="1">
        <v>42741</v>
      </c>
      <c r="G104" s="1">
        <v>42825</v>
      </c>
      <c r="H104">
        <v>2017</v>
      </c>
      <c r="I104">
        <v>7.9</v>
      </c>
      <c r="J104">
        <v>654321</v>
      </c>
      <c r="K104" t="s">
        <v>399</v>
      </c>
      <c r="L104">
        <v>3</v>
      </c>
      <c r="N104" t="s">
        <v>400</v>
      </c>
      <c r="V104">
        <v>1</v>
      </c>
      <c r="W104" t="s">
        <v>401</v>
      </c>
    </row>
    <row r="105" spans="1:23" x14ac:dyDescent="0.3">
      <c r="A105">
        <v>104</v>
      </c>
      <c r="B105" t="s">
        <v>402</v>
      </c>
      <c r="C105" t="s">
        <v>242</v>
      </c>
      <c r="D105">
        <v>1</v>
      </c>
      <c r="E105" t="s">
        <v>25</v>
      </c>
      <c r="F105" s="1">
        <v>43504</v>
      </c>
      <c r="G105" s="1">
        <v>43504</v>
      </c>
      <c r="H105">
        <v>2019</v>
      </c>
      <c r="I105">
        <v>8.1</v>
      </c>
      <c r="J105">
        <v>543210</v>
      </c>
      <c r="K105" t="s">
        <v>399</v>
      </c>
      <c r="L105">
        <v>3</v>
      </c>
      <c r="N105" t="s">
        <v>403</v>
      </c>
      <c r="V105">
        <v>1</v>
      </c>
      <c r="W105" t="s">
        <v>404</v>
      </c>
    </row>
    <row r="106" spans="1:23" x14ac:dyDescent="0.3">
      <c r="A106">
        <v>105</v>
      </c>
      <c r="B106" t="s">
        <v>405</v>
      </c>
      <c r="C106" t="s">
        <v>179</v>
      </c>
      <c r="D106">
        <v>12</v>
      </c>
      <c r="E106" t="s">
        <v>25</v>
      </c>
      <c r="F106" s="1">
        <v>44839</v>
      </c>
      <c r="G106" s="1">
        <v>44916</v>
      </c>
      <c r="H106">
        <v>2022</v>
      </c>
      <c r="I106">
        <v>7.6</v>
      </c>
      <c r="J106">
        <v>432109</v>
      </c>
      <c r="K106" t="s">
        <v>105</v>
      </c>
      <c r="L106">
        <v>3</v>
      </c>
      <c r="T106" t="s">
        <v>406</v>
      </c>
      <c r="V106">
        <v>1</v>
      </c>
      <c r="W106" t="s">
        <v>407</v>
      </c>
    </row>
    <row r="107" spans="1:23" x14ac:dyDescent="0.3">
      <c r="A107">
        <v>106</v>
      </c>
      <c r="B107" t="s">
        <v>408</v>
      </c>
      <c r="C107" t="s">
        <v>179</v>
      </c>
      <c r="D107">
        <v>20</v>
      </c>
      <c r="E107" t="s">
        <v>25</v>
      </c>
      <c r="F107" s="1">
        <v>44839</v>
      </c>
      <c r="G107" s="1">
        <v>44972</v>
      </c>
      <c r="H107">
        <v>2022</v>
      </c>
      <c r="I107">
        <v>8.1999999999999993</v>
      </c>
      <c r="J107">
        <v>543210</v>
      </c>
      <c r="K107" t="s">
        <v>409</v>
      </c>
      <c r="L107">
        <v>3</v>
      </c>
      <c r="T107" t="s">
        <v>410</v>
      </c>
      <c r="V107">
        <v>1</v>
      </c>
      <c r="W107" t="s">
        <v>411</v>
      </c>
    </row>
    <row r="108" spans="1:23" x14ac:dyDescent="0.3">
      <c r="A108">
        <v>107</v>
      </c>
      <c r="B108" t="s">
        <v>412</v>
      </c>
      <c r="C108" t="s">
        <v>179</v>
      </c>
      <c r="D108">
        <v>25</v>
      </c>
      <c r="E108" t="s">
        <v>25</v>
      </c>
      <c r="F108" s="1">
        <v>41552</v>
      </c>
      <c r="G108" s="1">
        <v>41720</v>
      </c>
      <c r="H108">
        <v>2013</v>
      </c>
      <c r="I108">
        <v>7.9</v>
      </c>
      <c r="J108">
        <v>543210</v>
      </c>
      <c r="K108" t="s">
        <v>413</v>
      </c>
      <c r="L108">
        <v>4</v>
      </c>
      <c r="N108" t="s">
        <v>414</v>
      </c>
      <c r="V108">
        <v>1</v>
      </c>
      <c r="W108" t="s">
        <v>415</v>
      </c>
    </row>
    <row r="109" spans="1:23" x14ac:dyDescent="0.3">
      <c r="A109">
        <v>108</v>
      </c>
      <c r="B109" t="s">
        <v>416</v>
      </c>
      <c r="C109" t="s">
        <v>179</v>
      </c>
      <c r="D109">
        <v>25</v>
      </c>
      <c r="E109" t="s">
        <v>25</v>
      </c>
      <c r="F109" s="1">
        <v>41916</v>
      </c>
      <c r="G109" s="1">
        <v>42091</v>
      </c>
      <c r="H109">
        <v>2014</v>
      </c>
      <c r="I109">
        <v>7.7</v>
      </c>
      <c r="J109">
        <v>432109</v>
      </c>
      <c r="K109" t="s">
        <v>413</v>
      </c>
      <c r="L109">
        <v>4</v>
      </c>
      <c r="N109" t="s">
        <v>414</v>
      </c>
      <c r="V109">
        <v>1</v>
      </c>
      <c r="W109" t="s">
        <v>417</v>
      </c>
    </row>
    <row r="110" spans="1:23" x14ac:dyDescent="0.3">
      <c r="A110">
        <v>109</v>
      </c>
      <c r="B110" t="s">
        <v>418</v>
      </c>
      <c r="C110" t="s">
        <v>179</v>
      </c>
      <c r="D110">
        <v>12</v>
      </c>
      <c r="E110" t="s">
        <v>25</v>
      </c>
      <c r="F110" s="1">
        <v>44209</v>
      </c>
      <c r="G110" s="1">
        <v>44286</v>
      </c>
      <c r="H110">
        <v>2021</v>
      </c>
      <c r="I110">
        <v>7.5</v>
      </c>
      <c r="J110">
        <v>321098</v>
      </c>
      <c r="K110" t="s">
        <v>413</v>
      </c>
      <c r="L110">
        <v>4</v>
      </c>
      <c r="N110" t="s">
        <v>414</v>
      </c>
      <c r="V110">
        <v>1</v>
      </c>
      <c r="W110" t="s">
        <v>419</v>
      </c>
    </row>
    <row r="111" spans="1:23" x14ac:dyDescent="0.3">
      <c r="A111">
        <v>110</v>
      </c>
      <c r="B111" t="s">
        <v>420</v>
      </c>
      <c r="C111" t="s">
        <v>179</v>
      </c>
      <c r="D111">
        <v>26</v>
      </c>
      <c r="E111" t="s">
        <v>25</v>
      </c>
      <c r="F111" s="1">
        <v>41735</v>
      </c>
      <c r="G111" s="1">
        <v>41910</v>
      </c>
      <c r="H111">
        <v>2014</v>
      </c>
      <c r="I111">
        <v>7.5</v>
      </c>
      <c r="J111">
        <v>654321</v>
      </c>
      <c r="K111" t="s">
        <v>421</v>
      </c>
      <c r="L111">
        <v>3</v>
      </c>
      <c r="N111" t="s">
        <v>422</v>
      </c>
      <c r="Q111" t="s">
        <v>423</v>
      </c>
      <c r="V111">
        <v>2</v>
      </c>
      <c r="W111" t="s">
        <v>424</v>
      </c>
    </row>
    <row r="112" spans="1:23" x14ac:dyDescent="0.3">
      <c r="A112">
        <v>111</v>
      </c>
      <c r="B112" t="s">
        <v>425</v>
      </c>
      <c r="C112" t="s">
        <v>179</v>
      </c>
      <c r="D112">
        <v>13</v>
      </c>
      <c r="E112" t="s">
        <v>25</v>
      </c>
      <c r="F112" s="1">
        <v>44108</v>
      </c>
      <c r="G112" s="1">
        <v>44192</v>
      </c>
      <c r="H112">
        <v>2020</v>
      </c>
      <c r="I112">
        <v>7.6</v>
      </c>
      <c r="J112">
        <v>543210</v>
      </c>
      <c r="K112" t="s">
        <v>421</v>
      </c>
      <c r="L112">
        <v>3</v>
      </c>
      <c r="N112" t="s">
        <v>422</v>
      </c>
      <c r="V112">
        <v>1</v>
      </c>
      <c r="W112" t="s">
        <v>426</v>
      </c>
    </row>
    <row r="113" spans="1:23" x14ac:dyDescent="0.3">
      <c r="A113">
        <v>112</v>
      </c>
      <c r="B113" t="s">
        <v>427</v>
      </c>
      <c r="C113" t="s">
        <v>428</v>
      </c>
      <c r="D113">
        <v>1</v>
      </c>
      <c r="E113" t="s">
        <v>25</v>
      </c>
      <c r="F113" s="1">
        <v>44561</v>
      </c>
      <c r="G113" s="1">
        <v>44561</v>
      </c>
      <c r="H113">
        <v>2021</v>
      </c>
      <c r="I113">
        <v>7.4</v>
      </c>
      <c r="J113">
        <v>432109</v>
      </c>
      <c r="K113" t="s">
        <v>421</v>
      </c>
      <c r="L113">
        <v>3</v>
      </c>
      <c r="N113" t="s">
        <v>422</v>
      </c>
      <c r="V113">
        <v>1</v>
      </c>
      <c r="W113" t="s">
        <v>429</v>
      </c>
    </row>
    <row r="114" spans="1:23" x14ac:dyDescent="0.3">
      <c r="A114">
        <v>113</v>
      </c>
      <c r="B114" t="s">
        <v>430</v>
      </c>
      <c r="C114" t="s">
        <v>179</v>
      </c>
      <c r="D114">
        <v>12</v>
      </c>
      <c r="E114" t="s">
        <v>25</v>
      </c>
      <c r="F114" s="1">
        <v>42928</v>
      </c>
      <c r="G114" s="1">
        <v>43005</v>
      </c>
      <c r="H114">
        <v>2017</v>
      </c>
      <c r="I114">
        <v>7.9</v>
      </c>
      <c r="J114">
        <v>765432</v>
      </c>
      <c r="K114" t="s">
        <v>431</v>
      </c>
      <c r="L114">
        <v>2</v>
      </c>
      <c r="N114" t="s">
        <v>432</v>
      </c>
      <c r="V114">
        <v>1</v>
      </c>
      <c r="W114" t="s">
        <v>433</v>
      </c>
    </row>
    <row r="115" spans="1:23" x14ac:dyDescent="0.3">
      <c r="A115">
        <v>114</v>
      </c>
      <c r="B115" t="s">
        <v>434</v>
      </c>
      <c r="C115" t="s">
        <v>179</v>
      </c>
      <c r="D115">
        <v>13</v>
      </c>
      <c r="E115" t="s">
        <v>25</v>
      </c>
      <c r="F115" s="1">
        <v>44746</v>
      </c>
      <c r="G115" s="1">
        <v>44830</v>
      </c>
      <c r="H115">
        <v>2022</v>
      </c>
      <c r="I115">
        <v>8.3000000000000007</v>
      </c>
      <c r="J115">
        <v>654321</v>
      </c>
      <c r="K115" t="s">
        <v>431</v>
      </c>
      <c r="L115">
        <v>2</v>
      </c>
      <c r="N115" t="s">
        <v>432</v>
      </c>
      <c r="V115">
        <v>1</v>
      </c>
      <c r="W115" t="s">
        <v>435</v>
      </c>
    </row>
    <row r="116" spans="1:23" x14ac:dyDescent="0.3">
      <c r="A116">
        <v>115</v>
      </c>
      <c r="B116" t="s">
        <v>436</v>
      </c>
      <c r="C116" t="s">
        <v>179</v>
      </c>
      <c r="D116">
        <v>13</v>
      </c>
      <c r="E116" t="s">
        <v>46</v>
      </c>
      <c r="F116" s="1">
        <v>45294</v>
      </c>
      <c r="G116" t="s">
        <v>484</v>
      </c>
      <c r="H116">
        <v>2024</v>
      </c>
      <c r="J116">
        <v>543210</v>
      </c>
      <c r="K116" t="s">
        <v>431</v>
      </c>
      <c r="L116">
        <v>2</v>
      </c>
      <c r="N116" t="s">
        <v>432</v>
      </c>
      <c r="V116">
        <v>1</v>
      </c>
      <c r="W116" t="s">
        <v>437</v>
      </c>
    </row>
    <row r="117" spans="1:23" x14ac:dyDescent="0.3">
      <c r="A117">
        <v>116</v>
      </c>
      <c r="B117" t="s">
        <v>438</v>
      </c>
      <c r="C117" t="s">
        <v>179</v>
      </c>
      <c r="D117">
        <v>13</v>
      </c>
      <c r="E117" t="s">
        <v>25</v>
      </c>
      <c r="F117" s="1">
        <v>44016</v>
      </c>
      <c r="G117" s="1">
        <v>44100</v>
      </c>
      <c r="H117">
        <v>2020</v>
      </c>
      <c r="I117">
        <v>7.8</v>
      </c>
      <c r="J117">
        <v>543210</v>
      </c>
      <c r="K117" t="s">
        <v>439</v>
      </c>
      <c r="L117">
        <v>2</v>
      </c>
      <c r="N117" t="s">
        <v>440</v>
      </c>
      <c r="V117">
        <v>1</v>
      </c>
      <c r="W117" t="s">
        <v>441</v>
      </c>
    </row>
    <row r="118" spans="1:23" x14ac:dyDescent="0.3">
      <c r="A118">
        <v>117</v>
      </c>
      <c r="B118" t="s">
        <v>442</v>
      </c>
      <c r="C118" t="s">
        <v>179</v>
      </c>
      <c r="D118">
        <v>12</v>
      </c>
      <c r="E118" t="s">
        <v>25</v>
      </c>
      <c r="F118" s="1">
        <v>44934</v>
      </c>
      <c r="G118" s="1">
        <v>45018</v>
      </c>
      <c r="H118">
        <v>2023</v>
      </c>
      <c r="I118">
        <v>8.1</v>
      </c>
      <c r="J118">
        <v>432109</v>
      </c>
      <c r="K118" t="s">
        <v>439</v>
      </c>
      <c r="L118">
        <v>2</v>
      </c>
      <c r="N118" t="s">
        <v>440</v>
      </c>
      <c r="V118">
        <v>1</v>
      </c>
      <c r="W118" t="s">
        <v>443</v>
      </c>
    </row>
    <row r="119" spans="1:23" x14ac:dyDescent="0.3">
      <c r="A119">
        <v>118</v>
      </c>
      <c r="B119" t="s">
        <v>444</v>
      </c>
      <c r="C119" t="s">
        <v>24</v>
      </c>
      <c r="D119">
        <v>13</v>
      </c>
      <c r="E119" t="s">
        <v>25</v>
      </c>
      <c r="F119" s="1">
        <v>44206</v>
      </c>
      <c r="G119" s="1">
        <v>44290</v>
      </c>
      <c r="H119">
        <v>2021</v>
      </c>
      <c r="I119">
        <v>8.1999999999999993</v>
      </c>
      <c r="J119">
        <v>876543</v>
      </c>
      <c r="K119" t="s">
        <v>445</v>
      </c>
      <c r="L119">
        <v>3</v>
      </c>
      <c r="N119" t="s">
        <v>446</v>
      </c>
      <c r="Q119" t="s">
        <v>447</v>
      </c>
      <c r="V119">
        <v>2</v>
      </c>
      <c r="W119" t="s">
        <v>448</v>
      </c>
    </row>
    <row r="120" spans="1:23" x14ac:dyDescent="0.3">
      <c r="A120">
        <v>119</v>
      </c>
      <c r="B120" t="s">
        <v>449</v>
      </c>
      <c r="C120" t="s">
        <v>24</v>
      </c>
      <c r="D120">
        <v>22</v>
      </c>
      <c r="E120" t="s">
        <v>25</v>
      </c>
      <c r="F120" s="1">
        <v>41922</v>
      </c>
      <c r="G120" s="1">
        <v>42083</v>
      </c>
      <c r="H120">
        <v>2014</v>
      </c>
      <c r="I120">
        <v>8.6999999999999993</v>
      </c>
      <c r="J120">
        <v>987654</v>
      </c>
      <c r="K120" t="s">
        <v>450</v>
      </c>
      <c r="L120">
        <v>3</v>
      </c>
      <c r="M120" t="s">
        <v>162</v>
      </c>
      <c r="N120" t="s">
        <v>451</v>
      </c>
      <c r="V120">
        <v>2</v>
      </c>
      <c r="W120" t="s">
        <v>452</v>
      </c>
    </row>
    <row r="121" spans="1:23" x14ac:dyDescent="0.3">
      <c r="A121">
        <v>120</v>
      </c>
      <c r="B121" t="s">
        <v>453</v>
      </c>
      <c r="C121" t="s">
        <v>24</v>
      </c>
      <c r="D121">
        <v>20</v>
      </c>
      <c r="E121" t="s">
        <v>25</v>
      </c>
      <c r="F121" s="1">
        <v>45576</v>
      </c>
      <c r="G121" s="1">
        <v>45716</v>
      </c>
      <c r="H121">
        <v>2024</v>
      </c>
      <c r="I121">
        <v>7.9</v>
      </c>
      <c r="J121">
        <v>932109</v>
      </c>
      <c r="K121" t="s">
        <v>35</v>
      </c>
      <c r="L121">
        <v>6</v>
      </c>
      <c r="M121" t="s">
        <v>454</v>
      </c>
      <c r="N121" t="s">
        <v>455</v>
      </c>
      <c r="O121" t="s">
        <v>456</v>
      </c>
      <c r="V121">
        <v>3</v>
      </c>
      <c r="W121" t="s">
        <v>457</v>
      </c>
    </row>
    <row r="122" spans="1:23" x14ac:dyDescent="0.3">
      <c r="A122">
        <v>121</v>
      </c>
      <c r="B122" t="s">
        <v>458</v>
      </c>
      <c r="C122" t="s">
        <v>459</v>
      </c>
      <c r="D122">
        <v>12</v>
      </c>
      <c r="E122" t="s">
        <v>46</v>
      </c>
      <c r="F122" s="1">
        <v>45297</v>
      </c>
      <c r="G122" t="s">
        <v>484</v>
      </c>
      <c r="H122">
        <v>2024</v>
      </c>
      <c r="I122">
        <v>8.5</v>
      </c>
      <c r="J122">
        <v>987654</v>
      </c>
      <c r="K122" t="s">
        <v>105</v>
      </c>
      <c r="L122">
        <v>3</v>
      </c>
      <c r="N122" t="s">
        <v>460</v>
      </c>
      <c r="V122">
        <v>1</v>
      </c>
      <c r="W122" t="s">
        <v>461</v>
      </c>
    </row>
    <row r="123" spans="1:23" x14ac:dyDescent="0.3">
      <c r="A123">
        <v>122</v>
      </c>
      <c r="B123" t="s">
        <v>462</v>
      </c>
      <c r="C123" t="s">
        <v>24</v>
      </c>
      <c r="D123">
        <v>8</v>
      </c>
      <c r="E123" t="s">
        <v>46</v>
      </c>
      <c r="F123" s="1">
        <v>45424</v>
      </c>
      <c r="G123" t="s">
        <v>463</v>
      </c>
      <c r="H123">
        <v>2024</v>
      </c>
      <c r="I123">
        <v>9</v>
      </c>
      <c r="J123">
        <v>3456789</v>
      </c>
      <c r="K123" t="s">
        <v>86</v>
      </c>
      <c r="L123">
        <v>5</v>
      </c>
      <c r="M123" t="s">
        <v>87</v>
      </c>
      <c r="N123" t="s">
        <v>88</v>
      </c>
      <c r="P123" t="s">
        <v>464</v>
      </c>
      <c r="V123">
        <v>3</v>
      </c>
      <c r="W123" t="s">
        <v>465</v>
      </c>
    </row>
    <row r="124" spans="1:23" x14ac:dyDescent="0.3">
      <c r="A124">
        <v>123</v>
      </c>
      <c r="B124" t="s">
        <v>466</v>
      </c>
      <c r="C124" t="s">
        <v>24</v>
      </c>
      <c r="D124">
        <v>51</v>
      </c>
      <c r="E124" t="s">
        <v>25</v>
      </c>
      <c r="F124" s="1">
        <v>37898</v>
      </c>
      <c r="G124" s="1">
        <v>38262</v>
      </c>
      <c r="H124">
        <v>2003</v>
      </c>
      <c r="I124">
        <v>8.6</v>
      </c>
      <c r="J124">
        <v>1500000</v>
      </c>
      <c r="K124" t="s">
        <v>187</v>
      </c>
      <c r="L124">
        <v>4</v>
      </c>
      <c r="N124" t="s">
        <v>467</v>
      </c>
      <c r="P124" t="s">
        <v>468</v>
      </c>
      <c r="Q124" t="s">
        <v>469</v>
      </c>
      <c r="V124">
        <v>3</v>
      </c>
      <c r="W124" t="s">
        <v>470</v>
      </c>
    </row>
    <row r="125" spans="1:23" x14ac:dyDescent="0.3">
      <c r="A125">
        <v>124</v>
      </c>
      <c r="B125" t="s">
        <v>471</v>
      </c>
      <c r="C125" t="s">
        <v>64</v>
      </c>
      <c r="D125">
        <v>74</v>
      </c>
      <c r="E125" t="s">
        <v>25</v>
      </c>
      <c r="F125" s="1">
        <v>38084</v>
      </c>
      <c r="G125" s="1">
        <v>38623</v>
      </c>
      <c r="H125">
        <v>2004</v>
      </c>
      <c r="I125">
        <v>8.9</v>
      </c>
      <c r="J125">
        <v>800000</v>
      </c>
      <c r="K125" t="s">
        <v>472</v>
      </c>
      <c r="L125">
        <v>6</v>
      </c>
      <c r="M125" t="s">
        <v>54</v>
      </c>
      <c r="V125">
        <v>1</v>
      </c>
      <c r="W125" t="s">
        <v>473</v>
      </c>
    </row>
    <row r="126" spans="1:23" x14ac:dyDescent="0.3">
      <c r="A126">
        <v>125</v>
      </c>
      <c r="B126" t="s">
        <v>474</v>
      </c>
      <c r="C126" t="s">
        <v>24</v>
      </c>
      <c r="D126">
        <v>367</v>
      </c>
      <c r="E126" t="s">
        <v>25</v>
      </c>
      <c r="F126" s="1">
        <v>38811</v>
      </c>
      <c r="G126" s="1">
        <v>43381</v>
      </c>
      <c r="H126">
        <v>2006</v>
      </c>
      <c r="I126">
        <v>9</v>
      </c>
      <c r="J126">
        <v>1200000</v>
      </c>
      <c r="K126" t="s">
        <v>475</v>
      </c>
      <c r="L126">
        <v>6</v>
      </c>
      <c r="N126" t="s">
        <v>476</v>
      </c>
      <c r="P126" t="s">
        <v>477</v>
      </c>
      <c r="V126">
        <v>2</v>
      </c>
      <c r="W126" t="s">
        <v>478</v>
      </c>
    </row>
    <row r="127" spans="1:23" x14ac:dyDescent="0.3">
      <c r="A127">
        <v>126</v>
      </c>
      <c r="B127" t="s">
        <v>479</v>
      </c>
      <c r="C127" t="s">
        <v>24</v>
      </c>
      <c r="D127">
        <v>75</v>
      </c>
      <c r="E127" t="s">
        <v>25</v>
      </c>
      <c r="F127" s="1">
        <v>36803</v>
      </c>
      <c r="G127" s="1">
        <v>37342</v>
      </c>
      <c r="H127">
        <v>2000</v>
      </c>
      <c r="I127">
        <v>8.8000000000000007</v>
      </c>
      <c r="J127">
        <v>700000</v>
      </c>
      <c r="K127" t="s">
        <v>480</v>
      </c>
      <c r="L127">
        <v>4</v>
      </c>
      <c r="N127" t="s">
        <v>481</v>
      </c>
      <c r="V127">
        <v>1</v>
      </c>
      <c r="W127" t="s">
        <v>482</v>
      </c>
    </row>
    <row r="128" spans="1:23" x14ac:dyDescent="0.3">
      <c r="A128">
        <v>127</v>
      </c>
      <c r="B128" t="s">
        <v>483</v>
      </c>
      <c r="C128" t="s">
        <v>24</v>
      </c>
      <c r="D128">
        <v>12</v>
      </c>
      <c r="E128" t="s">
        <v>46</v>
      </c>
      <c r="F128" s="1">
        <v>45392</v>
      </c>
      <c r="G128" t="s">
        <v>484</v>
      </c>
      <c r="H128">
        <v>2024</v>
      </c>
      <c r="I128">
        <v>8.5</v>
      </c>
      <c r="J128">
        <v>1234567</v>
      </c>
      <c r="K128" t="s">
        <v>485</v>
      </c>
      <c r="L128">
        <v>4</v>
      </c>
      <c r="N128" t="s">
        <v>486</v>
      </c>
      <c r="V128">
        <v>1</v>
      </c>
      <c r="W128" t="s">
        <v>487</v>
      </c>
    </row>
    <row r="129" spans="1:23" x14ac:dyDescent="0.3">
      <c r="A129">
        <v>128</v>
      </c>
      <c r="B129" t="s">
        <v>488</v>
      </c>
      <c r="C129" t="s">
        <v>489</v>
      </c>
      <c r="D129">
        <v>28</v>
      </c>
      <c r="E129" t="s">
        <v>25</v>
      </c>
      <c r="F129" s="1">
        <v>45198</v>
      </c>
      <c r="G129" s="1">
        <v>45373</v>
      </c>
      <c r="H129">
        <v>2023</v>
      </c>
      <c r="I129">
        <v>9</v>
      </c>
      <c r="J129">
        <v>1897654</v>
      </c>
      <c r="K129" t="s">
        <v>490</v>
      </c>
      <c r="L129">
        <v>3</v>
      </c>
      <c r="N129" t="s">
        <v>491</v>
      </c>
      <c r="V129">
        <v>1</v>
      </c>
      <c r="W129" t="s">
        <v>492</v>
      </c>
    </row>
    <row r="130" spans="1:23" x14ac:dyDescent="0.3">
      <c r="A130">
        <v>129</v>
      </c>
      <c r="B130" t="s">
        <v>493</v>
      </c>
      <c r="C130" t="s">
        <v>494</v>
      </c>
      <c r="D130">
        <v>12</v>
      </c>
      <c r="E130" t="s">
        <v>25</v>
      </c>
      <c r="F130" s="1">
        <v>44933</v>
      </c>
      <c r="G130" s="1">
        <v>45010</v>
      </c>
      <c r="H130">
        <v>2023</v>
      </c>
      <c r="I130">
        <v>8.3000000000000007</v>
      </c>
      <c r="J130">
        <v>987654</v>
      </c>
      <c r="K130" t="s">
        <v>495</v>
      </c>
      <c r="L130">
        <v>3</v>
      </c>
      <c r="N130" t="s">
        <v>496</v>
      </c>
      <c r="V130">
        <v>1</v>
      </c>
      <c r="W130" t="s">
        <v>497</v>
      </c>
    </row>
    <row r="131" spans="1:23" x14ac:dyDescent="0.3">
      <c r="A131">
        <v>130</v>
      </c>
      <c r="B131" t="s">
        <v>498</v>
      </c>
      <c r="C131" t="s">
        <v>494</v>
      </c>
      <c r="D131">
        <v>12</v>
      </c>
      <c r="E131" t="s">
        <v>25</v>
      </c>
      <c r="F131" s="1">
        <v>42282</v>
      </c>
      <c r="G131" s="1">
        <v>42359</v>
      </c>
      <c r="H131">
        <v>2015</v>
      </c>
      <c r="I131">
        <v>8.6999999999999993</v>
      </c>
      <c r="J131">
        <v>4567890</v>
      </c>
      <c r="K131" t="s">
        <v>499</v>
      </c>
      <c r="L131">
        <v>5</v>
      </c>
      <c r="M131" t="s">
        <v>500</v>
      </c>
      <c r="N131" t="s">
        <v>501</v>
      </c>
      <c r="P131" t="s">
        <v>502</v>
      </c>
      <c r="V131">
        <v>3</v>
      </c>
      <c r="W131" t="s">
        <v>503</v>
      </c>
    </row>
    <row r="132" spans="1:23" x14ac:dyDescent="0.3">
      <c r="A132">
        <v>131</v>
      </c>
      <c r="B132" t="s">
        <v>504</v>
      </c>
      <c r="C132" t="s">
        <v>494</v>
      </c>
      <c r="D132">
        <v>12</v>
      </c>
      <c r="E132" t="s">
        <v>25</v>
      </c>
      <c r="F132" s="1">
        <v>43564</v>
      </c>
      <c r="G132" s="1">
        <v>43648</v>
      </c>
      <c r="H132">
        <v>2019</v>
      </c>
      <c r="I132">
        <v>7.9</v>
      </c>
      <c r="J132">
        <v>3456789</v>
      </c>
      <c r="K132" t="s">
        <v>499</v>
      </c>
      <c r="L132">
        <v>5</v>
      </c>
      <c r="N132" t="s">
        <v>501</v>
      </c>
      <c r="P132" t="s">
        <v>502</v>
      </c>
      <c r="V132">
        <v>2</v>
      </c>
      <c r="W132" t="s">
        <v>505</v>
      </c>
    </row>
    <row r="133" spans="1:23" x14ac:dyDescent="0.3">
      <c r="A133">
        <v>132</v>
      </c>
      <c r="B133" t="s">
        <v>506</v>
      </c>
      <c r="C133" t="s">
        <v>494</v>
      </c>
      <c r="D133">
        <v>12</v>
      </c>
      <c r="E133" t="s">
        <v>25</v>
      </c>
      <c r="F133" s="1">
        <v>45395</v>
      </c>
      <c r="G133" s="1">
        <v>45472</v>
      </c>
      <c r="H133">
        <v>2024</v>
      </c>
      <c r="I133">
        <v>8.1999999999999993</v>
      </c>
      <c r="J133">
        <v>2345678</v>
      </c>
      <c r="K133" t="s">
        <v>507</v>
      </c>
      <c r="L133">
        <v>3</v>
      </c>
      <c r="N133" t="s">
        <v>508</v>
      </c>
      <c r="V133">
        <v>1</v>
      </c>
      <c r="W133" t="s">
        <v>509</v>
      </c>
    </row>
    <row r="134" spans="1:23" x14ac:dyDescent="0.3">
      <c r="A134">
        <v>133</v>
      </c>
      <c r="B134" t="s">
        <v>510</v>
      </c>
      <c r="C134" t="s">
        <v>511</v>
      </c>
      <c r="D134">
        <v>82</v>
      </c>
      <c r="E134" t="s">
        <v>25</v>
      </c>
      <c r="F134" s="1">
        <v>35521</v>
      </c>
      <c r="G134" s="1">
        <v>35816</v>
      </c>
      <c r="H134">
        <v>1997</v>
      </c>
      <c r="I134">
        <v>7.5</v>
      </c>
      <c r="J134">
        <v>5678901</v>
      </c>
      <c r="K134" t="s">
        <v>395</v>
      </c>
      <c r="L134">
        <v>3</v>
      </c>
      <c r="M134" t="s">
        <v>54</v>
      </c>
      <c r="U134" t="s">
        <v>512</v>
      </c>
      <c r="V134">
        <v>2</v>
      </c>
      <c r="W134" t="s">
        <v>513</v>
      </c>
    </row>
    <row r="135" spans="1:23" x14ac:dyDescent="0.3">
      <c r="A135">
        <v>134</v>
      </c>
      <c r="B135" t="s">
        <v>514</v>
      </c>
      <c r="C135" t="s">
        <v>494</v>
      </c>
      <c r="D135">
        <v>12</v>
      </c>
      <c r="E135" t="s">
        <v>25</v>
      </c>
      <c r="F135" s="1">
        <v>41824</v>
      </c>
      <c r="G135" s="1">
        <v>41901</v>
      </c>
      <c r="H135">
        <v>2014</v>
      </c>
      <c r="I135">
        <v>8</v>
      </c>
      <c r="J135">
        <v>4500000</v>
      </c>
      <c r="K135" t="s">
        <v>515</v>
      </c>
      <c r="L135">
        <v>5</v>
      </c>
      <c r="N135" t="s">
        <v>516</v>
      </c>
      <c r="P135" t="s">
        <v>517</v>
      </c>
      <c r="Q135" t="s">
        <v>518</v>
      </c>
      <c r="V135">
        <v>3</v>
      </c>
      <c r="W135" t="s">
        <v>519</v>
      </c>
    </row>
    <row r="136" spans="1:23" x14ac:dyDescent="0.3">
      <c r="A136">
        <v>135</v>
      </c>
      <c r="B136" t="s">
        <v>847</v>
      </c>
      <c r="C136" t="s">
        <v>494</v>
      </c>
      <c r="D136">
        <v>12</v>
      </c>
      <c r="E136" t="s">
        <v>25</v>
      </c>
      <c r="F136" s="1">
        <v>42013</v>
      </c>
      <c r="G136" s="1">
        <v>42090</v>
      </c>
      <c r="H136">
        <v>2015</v>
      </c>
      <c r="I136">
        <v>7.5</v>
      </c>
      <c r="J136">
        <v>3800000</v>
      </c>
      <c r="K136" t="s">
        <v>515</v>
      </c>
      <c r="L136">
        <v>5</v>
      </c>
      <c r="N136" t="s">
        <v>516</v>
      </c>
      <c r="P136" t="s">
        <v>517</v>
      </c>
      <c r="Q136" t="s">
        <v>518</v>
      </c>
      <c r="V136">
        <v>3</v>
      </c>
      <c r="W136" t="s">
        <v>519</v>
      </c>
    </row>
    <row r="137" spans="1:23" x14ac:dyDescent="0.3">
      <c r="A137">
        <v>136</v>
      </c>
      <c r="B137" t="s">
        <v>520</v>
      </c>
      <c r="C137" t="s">
        <v>494</v>
      </c>
      <c r="D137">
        <v>12</v>
      </c>
      <c r="E137" t="s">
        <v>25</v>
      </c>
      <c r="F137" s="1">
        <v>43193</v>
      </c>
      <c r="G137" s="1">
        <v>43270</v>
      </c>
      <c r="H137">
        <v>2018</v>
      </c>
      <c r="I137">
        <v>7.2</v>
      </c>
      <c r="J137">
        <v>3200000</v>
      </c>
      <c r="K137" t="s">
        <v>515</v>
      </c>
      <c r="L137">
        <v>5</v>
      </c>
      <c r="N137" t="s">
        <v>521</v>
      </c>
      <c r="Q137" t="s">
        <v>522</v>
      </c>
      <c r="V137">
        <v>2</v>
      </c>
      <c r="W137" t="s">
        <v>523</v>
      </c>
    </row>
    <row r="138" spans="1:23" x14ac:dyDescent="0.3">
      <c r="A138">
        <v>137</v>
      </c>
      <c r="B138" t="s">
        <v>524</v>
      </c>
      <c r="C138" t="s">
        <v>511</v>
      </c>
      <c r="D138">
        <v>24</v>
      </c>
      <c r="E138" t="s">
        <v>25</v>
      </c>
      <c r="F138" s="1">
        <v>41917</v>
      </c>
      <c r="G138" s="1">
        <v>42092</v>
      </c>
      <c r="H138">
        <v>2014</v>
      </c>
      <c r="I138">
        <v>8.1</v>
      </c>
      <c r="J138">
        <v>5000000</v>
      </c>
      <c r="K138" t="s">
        <v>211</v>
      </c>
      <c r="L138">
        <v>4</v>
      </c>
      <c r="M138" t="s">
        <v>162</v>
      </c>
      <c r="N138" t="s">
        <v>525</v>
      </c>
      <c r="V138">
        <v>2</v>
      </c>
      <c r="W138" t="s">
        <v>526</v>
      </c>
    </row>
    <row r="139" spans="1:23" x14ac:dyDescent="0.3">
      <c r="A139">
        <v>138</v>
      </c>
      <c r="B139" t="s">
        <v>527</v>
      </c>
      <c r="C139" t="s">
        <v>511</v>
      </c>
      <c r="D139">
        <v>24</v>
      </c>
      <c r="E139" t="s">
        <v>25</v>
      </c>
      <c r="F139" s="1">
        <v>43113</v>
      </c>
      <c r="G139" s="1">
        <v>43281</v>
      </c>
      <c r="H139">
        <v>2018</v>
      </c>
      <c r="I139">
        <v>7.8</v>
      </c>
      <c r="J139">
        <v>4200000</v>
      </c>
      <c r="K139" t="s">
        <v>211</v>
      </c>
      <c r="L139">
        <v>4</v>
      </c>
      <c r="M139" t="s">
        <v>162</v>
      </c>
      <c r="N139" t="s">
        <v>525</v>
      </c>
      <c r="V139">
        <v>2</v>
      </c>
      <c r="W139" t="s">
        <v>528</v>
      </c>
    </row>
    <row r="140" spans="1:23" x14ac:dyDescent="0.3">
      <c r="A140">
        <v>139</v>
      </c>
      <c r="B140" t="s">
        <v>529</v>
      </c>
      <c r="C140" t="s">
        <v>511</v>
      </c>
      <c r="D140">
        <v>25</v>
      </c>
      <c r="E140" t="s">
        <v>25</v>
      </c>
      <c r="F140" s="1">
        <v>41189</v>
      </c>
      <c r="G140" s="1">
        <v>41364</v>
      </c>
      <c r="H140">
        <v>2012</v>
      </c>
      <c r="I140">
        <v>8.1999999999999993</v>
      </c>
      <c r="J140">
        <v>3500000</v>
      </c>
      <c r="K140" t="s">
        <v>530</v>
      </c>
      <c r="L140">
        <v>4</v>
      </c>
      <c r="M140" t="s">
        <v>54</v>
      </c>
      <c r="N140" t="s">
        <v>531</v>
      </c>
      <c r="V140">
        <v>2</v>
      </c>
      <c r="W140" t="s">
        <v>532</v>
      </c>
    </row>
    <row r="141" spans="1:23" x14ac:dyDescent="0.3">
      <c r="A141">
        <v>140</v>
      </c>
      <c r="B141" t="s">
        <v>533</v>
      </c>
      <c r="C141" t="s">
        <v>511</v>
      </c>
      <c r="D141">
        <v>25</v>
      </c>
      <c r="E141" t="s">
        <v>25</v>
      </c>
      <c r="F141" s="1">
        <v>41553</v>
      </c>
      <c r="G141" s="1">
        <v>41728</v>
      </c>
      <c r="H141">
        <v>2013</v>
      </c>
      <c r="I141">
        <v>8.3000000000000007</v>
      </c>
      <c r="J141">
        <v>3200000</v>
      </c>
      <c r="K141" t="s">
        <v>530</v>
      </c>
      <c r="L141">
        <v>4</v>
      </c>
      <c r="M141" t="s">
        <v>54</v>
      </c>
      <c r="N141" t="s">
        <v>531</v>
      </c>
      <c r="V141">
        <v>2</v>
      </c>
      <c r="W141" t="s">
        <v>534</v>
      </c>
    </row>
    <row r="142" spans="1:23" x14ac:dyDescent="0.3">
      <c r="A142">
        <v>141</v>
      </c>
      <c r="B142" t="s">
        <v>535</v>
      </c>
      <c r="C142" t="s">
        <v>494</v>
      </c>
      <c r="D142">
        <v>103</v>
      </c>
      <c r="E142" t="s">
        <v>25</v>
      </c>
      <c r="F142" s="1">
        <v>38993</v>
      </c>
      <c r="G142" s="1">
        <v>39721</v>
      </c>
      <c r="H142">
        <v>2006</v>
      </c>
      <c r="I142">
        <v>8</v>
      </c>
      <c r="J142">
        <v>2800000</v>
      </c>
      <c r="K142" t="s">
        <v>536</v>
      </c>
      <c r="L142">
        <v>6</v>
      </c>
      <c r="N142" t="s">
        <v>537</v>
      </c>
      <c r="Q142" t="s">
        <v>538</v>
      </c>
      <c r="V142">
        <v>2</v>
      </c>
      <c r="W142" t="s">
        <v>539</v>
      </c>
    </row>
    <row r="143" spans="1:23" x14ac:dyDescent="0.3">
      <c r="A143">
        <v>142</v>
      </c>
      <c r="B143" t="s">
        <v>540</v>
      </c>
      <c r="C143" t="s">
        <v>494</v>
      </c>
      <c r="D143">
        <v>13</v>
      </c>
      <c r="E143" t="s">
        <v>25</v>
      </c>
      <c r="F143" s="1">
        <v>42556</v>
      </c>
      <c r="G143" s="1">
        <v>42640</v>
      </c>
      <c r="H143">
        <v>2016</v>
      </c>
      <c r="I143">
        <v>7.8</v>
      </c>
      <c r="J143">
        <v>2000000</v>
      </c>
      <c r="K143" t="s">
        <v>536</v>
      </c>
      <c r="L143">
        <v>6</v>
      </c>
      <c r="N143" t="s">
        <v>537</v>
      </c>
      <c r="Q143" t="s">
        <v>541</v>
      </c>
      <c r="V143">
        <v>2</v>
      </c>
      <c r="W143" t="s">
        <v>542</v>
      </c>
    </row>
    <row r="144" spans="1:23" x14ac:dyDescent="0.3">
      <c r="A144">
        <v>143</v>
      </c>
      <c r="B144" t="s">
        <v>543</v>
      </c>
      <c r="C144" t="s">
        <v>494</v>
      </c>
      <c r="D144">
        <v>24</v>
      </c>
      <c r="E144" t="s">
        <v>25</v>
      </c>
      <c r="F144" s="1">
        <v>41827</v>
      </c>
      <c r="G144" s="1">
        <v>41988</v>
      </c>
      <c r="H144">
        <v>2014</v>
      </c>
      <c r="I144">
        <v>7.7</v>
      </c>
      <c r="J144">
        <v>4000000</v>
      </c>
      <c r="K144" t="s">
        <v>187</v>
      </c>
      <c r="L144">
        <v>4</v>
      </c>
      <c r="N144" t="s">
        <v>544</v>
      </c>
      <c r="P144" t="s">
        <v>545</v>
      </c>
      <c r="V144">
        <v>2</v>
      </c>
      <c r="W144" t="s">
        <v>546</v>
      </c>
    </row>
    <row r="145" spans="1:23" x14ac:dyDescent="0.3">
      <c r="A145">
        <v>144</v>
      </c>
      <c r="B145" t="s">
        <v>547</v>
      </c>
      <c r="C145" t="s">
        <v>548</v>
      </c>
      <c r="D145">
        <v>26</v>
      </c>
      <c r="E145" t="s">
        <v>25</v>
      </c>
      <c r="F145" s="1">
        <v>38812</v>
      </c>
      <c r="G145" s="1">
        <v>38987</v>
      </c>
      <c r="H145">
        <v>2006</v>
      </c>
      <c r="I145">
        <v>8.1</v>
      </c>
      <c r="J145">
        <v>2500000</v>
      </c>
      <c r="K145" t="s">
        <v>549</v>
      </c>
      <c r="L145">
        <v>5</v>
      </c>
      <c r="N145" t="s">
        <v>550</v>
      </c>
      <c r="T145" t="s">
        <v>551</v>
      </c>
      <c r="V145">
        <v>2</v>
      </c>
      <c r="W145" t="s">
        <v>552</v>
      </c>
    </row>
    <row r="146" spans="1:23" x14ac:dyDescent="0.3">
      <c r="A146">
        <v>145</v>
      </c>
      <c r="B146" t="s">
        <v>553</v>
      </c>
      <c r="C146" t="s">
        <v>548</v>
      </c>
      <c r="D146">
        <v>24</v>
      </c>
      <c r="E146" t="s">
        <v>25</v>
      </c>
      <c r="F146" s="1">
        <v>39269</v>
      </c>
      <c r="G146" s="1">
        <v>39437</v>
      </c>
      <c r="H146">
        <v>2007</v>
      </c>
      <c r="I146">
        <v>8.4</v>
      </c>
      <c r="J146">
        <v>2200000</v>
      </c>
      <c r="K146" t="s">
        <v>549</v>
      </c>
      <c r="L146">
        <v>5</v>
      </c>
      <c r="N146" t="s">
        <v>550</v>
      </c>
      <c r="T146" t="s">
        <v>554</v>
      </c>
      <c r="V146">
        <v>2</v>
      </c>
      <c r="W146" t="s">
        <v>555</v>
      </c>
    </row>
    <row r="147" spans="1:23" x14ac:dyDescent="0.3">
      <c r="A147">
        <v>146</v>
      </c>
      <c r="B147" t="s">
        <v>556</v>
      </c>
      <c r="C147" t="s">
        <v>557</v>
      </c>
      <c r="D147">
        <v>13</v>
      </c>
      <c r="E147" t="s">
        <v>25</v>
      </c>
      <c r="F147" s="1">
        <v>38020</v>
      </c>
      <c r="G147" s="1">
        <v>38125</v>
      </c>
      <c r="H147">
        <v>2004</v>
      </c>
      <c r="I147">
        <v>8.1999999999999993</v>
      </c>
      <c r="J147">
        <v>1800000</v>
      </c>
      <c r="K147" t="s">
        <v>125</v>
      </c>
      <c r="L147">
        <v>4</v>
      </c>
      <c r="Q147" t="s">
        <v>558</v>
      </c>
      <c r="V147">
        <v>1</v>
      </c>
      <c r="W147" t="s">
        <v>559</v>
      </c>
    </row>
    <row r="148" spans="1:23" x14ac:dyDescent="0.3">
      <c r="A148">
        <v>147</v>
      </c>
      <c r="B148" t="s">
        <v>560</v>
      </c>
      <c r="C148" t="s">
        <v>561</v>
      </c>
      <c r="D148">
        <v>22</v>
      </c>
      <c r="E148" t="s">
        <v>25</v>
      </c>
      <c r="F148" s="1">
        <v>37728</v>
      </c>
      <c r="G148" s="1">
        <v>37896</v>
      </c>
      <c r="H148">
        <v>2003</v>
      </c>
      <c r="I148">
        <v>8</v>
      </c>
      <c r="J148">
        <v>900000</v>
      </c>
      <c r="K148" t="s">
        <v>562</v>
      </c>
      <c r="L148">
        <v>4</v>
      </c>
      <c r="Q148" t="s">
        <v>563</v>
      </c>
      <c r="V148">
        <v>1</v>
      </c>
      <c r="W148" t="s">
        <v>564</v>
      </c>
    </row>
    <row r="149" spans="1:23" x14ac:dyDescent="0.3">
      <c r="A149">
        <v>148</v>
      </c>
      <c r="B149" t="s">
        <v>565</v>
      </c>
      <c r="C149" t="s">
        <v>566</v>
      </c>
      <c r="D149">
        <v>47</v>
      </c>
      <c r="E149" t="s">
        <v>25</v>
      </c>
      <c r="F149" s="1">
        <v>38812</v>
      </c>
      <c r="G149" s="1">
        <v>39169</v>
      </c>
      <c r="H149">
        <v>2006</v>
      </c>
      <c r="I149">
        <v>8.5</v>
      </c>
      <c r="J149">
        <v>3000000</v>
      </c>
      <c r="K149" t="s">
        <v>567</v>
      </c>
      <c r="L149">
        <v>4</v>
      </c>
      <c r="N149" t="s">
        <v>568</v>
      </c>
      <c r="T149" t="s">
        <v>569</v>
      </c>
      <c r="V149">
        <v>2</v>
      </c>
      <c r="W149" t="s">
        <v>570</v>
      </c>
    </row>
    <row r="150" spans="1:23" x14ac:dyDescent="0.3">
      <c r="A150">
        <v>149</v>
      </c>
      <c r="B150" t="s">
        <v>571</v>
      </c>
      <c r="C150" t="s">
        <v>566</v>
      </c>
      <c r="D150">
        <v>11</v>
      </c>
      <c r="E150" t="s">
        <v>25</v>
      </c>
      <c r="F150" s="1">
        <v>45028</v>
      </c>
      <c r="G150" s="1">
        <v>45105</v>
      </c>
      <c r="H150">
        <v>2023</v>
      </c>
      <c r="I150">
        <v>8.8000000000000007</v>
      </c>
      <c r="J150">
        <v>5000000</v>
      </c>
      <c r="K150" t="s">
        <v>572</v>
      </c>
      <c r="L150">
        <v>2</v>
      </c>
      <c r="N150" t="s">
        <v>573</v>
      </c>
      <c r="T150" t="s">
        <v>574</v>
      </c>
      <c r="V150">
        <v>2</v>
      </c>
      <c r="W150" t="s">
        <v>575</v>
      </c>
    </row>
    <row r="151" spans="1:23" x14ac:dyDescent="0.3">
      <c r="A151">
        <v>150</v>
      </c>
      <c r="B151" t="s">
        <v>576</v>
      </c>
      <c r="C151" t="s">
        <v>511</v>
      </c>
      <c r="D151">
        <v>23</v>
      </c>
      <c r="E151" t="s">
        <v>25</v>
      </c>
      <c r="F151" s="1">
        <v>44484</v>
      </c>
      <c r="G151" s="1">
        <v>44645</v>
      </c>
      <c r="H151">
        <v>2021</v>
      </c>
      <c r="I151">
        <v>8.6999999999999993</v>
      </c>
      <c r="J151">
        <v>4500000</v>
      </c>
      <c r="K151" t="s">
        <v>577</v>
      </c>
      <c r="L151">
        <v>2</v>
      </c>
      <c r="N151" t="s">
        <v>578</v>
      </c>
      <c r="Q151" t="s">
        <v>579</v>
      </c>
      <c r="V151">
        <v>2</v>
      </c>
      <c r="W151" t="s">
        <v>580</v>
      </c>
    </row>
    <row r="152" spans="1:23" x14ac:dyDescent="0.3">
      <c r="A152">
        <v>151</v>
      </c>
      <c r="B152" t="s">
        <v>581</v>
      </c>
      <c r="C152" t="s">
        <v>566</v>
      </c>
      <c r="D152">
        <v>24</v>
      </c>
      <c r="E152" t="s">
        <v>25</v>
      </c>
      <c r="F152" s="1">
        <v>39724</v>
      </c>
      <c r="G152" s="1">
        <v>39899</v>
      </c>
      <c r="H152">
        <v>2008</v>
      </c>
      <c r="I152">
        <v>9</v>
      </c>
      <c r="J152">
        <v>3500000</v>
      </c>
      <c r="K152" t="s">
        <v>582</v>
      </c>
      <c r="L152">
        <v>4</v>
      </c>
      <c r="N152" t="s">
        <v>583</v>
      </c>
      <c r="T152" t="s">
        <v>584</v>
      </c>
      <c r="V152">
        <v>2</v>
      </c>
      <c r="W152" t="s">
        <v>585</v>
      </c>
    </row>
    <row r="153" spans="1:23" x14ac:dyDescent="0.3">
      <c r="A153">
        <v>152</v>
      </c>
      <c r="B153" t="s">
        <v>586</v>
      </c>
      <c r="C153" t="s">
        <v>566</v>
      </c>
      <c r="D153">
        <v>25</v>
      </c>
      <c r="E153" t="s">
        <v>25</v>
      </c>
      <c r="F153" s="1">
        <v>43561</v>
      </c>
      <c r="G153" s="1">
        <v>43729</v>
      </c>
      <c r="H153">
        <v>2019</v>
      </c>
      <c r="I153">
        <v>8.5</v>
      </c>
      <c r="J153">
        <v>4000000</v>
      </c>
      <c r="K153" t="s">
        <v>587</v>
      </c>
      <c r="L153">
        <v>5</v>
      </c>
      <c r="N153" t="s">
        <v>588</v>
      </c>
      <c r="Q153" t="s">
        <v>589</v>
      </c>
      <c r="V153">
        <v>2</v>
      </c>
      <c r="W153" t="s">
        <v>590</v>
      </c>
    </row>
    <row r="154" spans="1:23" x14ac:dyDescent="0.3">
      <c r="A154">
        <v>153</v>
      </c>
      <c r="B154" t="s">
        <v>591</v>
      </c>
      <c r="C154" t="s">
        <v>566</v>
      </c>
      <c r="D154">
        <v>13</v>
      </c>
      <c r="E154" t="s">
        <v>25</v>
      </c>
      <c r="F154" s="1">
        <v>44292</v>
      </c>
      <c r="G154" s="1">
        <v>44376</v>
      </c>
      <c r="H154">
        <v>2021</v>
      </c>
      <c r="I154">
        <v>9.1</v>
      </c>
      <c r="J154">
        <v>3800000</v>
      </c>
      <c r="K154" t="s">
        <v>592</v>
      </c>
      <c r="L154">
        <v>4</v>
      </c>
      <c r="N154" t="s">
        <v>593</v>
      </c>
      <c r="Q154" t="s">
        <v>594</v>
      </c>
      <c r="V154">
        <v>2</v>
      </c>
      <c r="W154" t="s">
        <v>595</v>
      </c>
    </row>
    <row r="155" spans="1:23" x14ac:dyDescent="0.3">
      <c r="A155">
        <v>154</v>
      </c>
      <c r="B155" t="s">
        <v>596</v>
      </c>
      <c r="C155" t="s">
        <v>566</v>
      </c>
      <c r="D155">
        <v>11</v>
      </c>
      <c r="E155" t="s">
        <v>25</v>
      </c>
      <c r="F155" s="1">
        <v>40648</v>
      </c>
      <c r="G155" s="1">
        <v>40718</v>
      </c>
      <c r="H155">
        <v>2011</v>
      </c>
      <c r="I155">
        <v>8.4</v>
      </c>
      <c r="J155">
        <v>3000000</v>
      </c>
      <c r="K155" t="s">
        <v>572</v>
      </c>
      <c r="L155">
        <v>2</v>
      </c>
      <c r="M155" t="s">
        <v>597</v>
      </c>
      <c r="N155" t="s">
        <v>598</v>
      </c>
      <c r="V155">
        <v>2</v>
      </c>
      <c r="W155" t="s">
        <v>599</v>
      </c>
    </row>
    <row r="156" spans="1:23" x14ac:dyDescent="0.3">
      <c r="A156">
        <v>155</v>
      </c>
      <c r="B156" t="s">
        <v>600</v>
      </c>
      <c r="C156" t="s">
        <v>64</v>
      </c>
      <c r="D156">
        <v>13</v>
      </c>
      <c r="E156" t="s">
        <v>25</v>
      </c>
      <c r="F156" s="1">
        <v>43111</v>
      </c>
      <c r="G156" s="1">
        <v>43195</v>
      </c>
      <c r="H156">
        <v>2018</v>
      </c>
      <c r="I156">
        <v>8.9</v>
      </c>
      <c r="J156">
        <v>4200000</v>
      </c>
      <c r="K156" t="s">
        <v>601</v>
      </c>
      <c r="L156">
        <v>3</v>
      </c>
      <c r="M156" t="s">
        <v>602</v>
      </c>
      <c r="V156">
        <v>1</v>
      </c>
      <c r="W156" t="s">
        <v>603</v>
      </c>
    </row>
    <row r="157" spans="1:23" x14ac:dyDescent="0.3">
      <c r="A157">
        <v>156</v>
      </c>
      <c r="B157" t="s">
        <v>604</v>
      </c>
      <c r="C157" t="s">
        <v>64</v>
      </c>
      <c r="D157">
        <v>10</v>
      </c>
      <c r="E157" t="s">
        <v>25</v>
      </c>
      <c r="F157" s="1">
        <v>44817</v>
      </c>
      <c r="G157" t="s">
        <v>484</v>
      </c>
      <c r="H157">
        <v>2022</v>
      </c>
      <c r="I157">
        <v>8.5</v>
      </c>
      <c r="J157">
        <v>3500000</v>
      </c>
      <c r="K157" t="s">
        <v>605</v>
      </c>
      <c r="L157">
        <v>3</v>
      </c>
      <c r="M157" t="s">
        <v>606</v>
      </c>
      <c r="V157">
        <v>1</v>
      </c>
      <c r="W157" t="s">
        <v>607</v>
      </c>
    </row>
    <row r="158" spans="1:23" x14ac:dyDescent="0.3">
      <c r="A158">
        <v>157</v>
      </c>
      <c r="B158" t="s">
        <v>608</v>
      </c>
      <c r="C158" t="s">
        <v>64</v>
      </c>
      <c r="D158">
        <v>12</v>
      </c>
      <c r="E158" t="s">
        <v>25</v>
      </c>
      <c r="F158" s="1">
        <v>39247</v>
      </c>
      <c r="G158" s="1">
        <v>39317</v>
      </c>
      <c r="H158">
        <v>2007</v>
      </c>
      <c r="I158">
        <v>7.2</v>
      </c>
      <c r="J158">
        <v>1200000</v>
      </c>
      <c r="K158" t="s">
        <v>609</v>
      </c>
      <c r="L158">
        <v>3</v>
      </c>
      <c r="N158" t="s">
        <v>610</v>
      </c>
      <c r="V158">
        <v>1</v>
      </c>
      <c r="W158" t="s">
        <v>611</v>
      </c>
    </row>
    <row r="159" spans="1:23" x14ac:dyDescent="0.3">
      <c r="A159">
        <v>158</v>
      </c>
      <c r="B159" t="s">
        <v>612</v>
      </c>
      <c r="C159" t="s">
        <v>64</v>
      </c>
      <c r="D159">
        <v>9</v>
      </c>
      <c r="E159" t="s">
        <v>25</v>
      </c>
      <c r="F159" s="1">
        <v>44506</v>
      </c>
      <c r="G159" s="1">
        <v>44520</v>
      </c>
      <c r="H159">
        <v>2021</v>
      </c>
      <c r="I159">
        <v>9.1</v>
      </c>
      <c r="J159">
        <v>5000000</v>
      </c>
      <c r="K159" t="s">
        <v>613</v>
      </c>
      <c r="L159">
        <v>3</v>
      </c>
      <c r="M159" t="s">
        <v>614</v>
      </c>
      <c r="V159">
        <v>1</v>
      </c>
      <c r="W159" t="s">
        <v>615</v>
      </c>
    </row>
    <row r="160" spans="1:23" x14ac:dyDescent="0.3">
      <c r="A160">
        <v>159</v>
      </c>
      <c r="B160" t="s">
        <v>616</v>
      </c>
      <c r="C160" t="s">
        <v>617</v>
      </c>
      <c r="D160">
        <v>293</v>
      </c>
      <c r="E160" t="s">
        <v>46</v>
      </c>
      <c r="F160" s="1">
        <v>42830</v>
      </c>
      <c r="G160" t="s">
        <v>484</v>
      </c>
      <c r="H160">
        <v>2017</v>
      </c>
      <c r="I160">
        <v>6.5</v>
      </c>
      <c r="J160">
        <v>4500000</v>
      </c>
      <c r="K160" t="s">
        <v>618</v>
      </c>
      <c r="L160">
        <v>3</v>
      </c>
      <c r="N160" t="s">
        <v>619</v>
      </c>
      <c r="V160">
        <v>1</v>
      </c>
      <c r="W160" t="s">
        <v>620</v>
      </c>
    </row>
    <row r="161" spans="1:23" x14ac:dyDescent="0.3">
      <c r="A161">
        <v>160</v>
      </c>
      <c r="B161" t="s">
        <v>621</v>
      </c>
      <c r="C161" t="s">
        <v>617</v>
      </c>
      <c r="D161">
        <v>24</v>
      </c>
      <c r="E161" t="s">
        <v>25</v>
      </c>
      <c r="F161" s="1">
        <v>39724</v>
      </c>
      <c r="G161" s="1">
        <v>39899</v>
      </c>
      <c r="H161">
        <v>2008</v>
      </c>
      <c r="I161">
        <v>8</v>
      </c>
      <c r="J161">
        <v>2800000</v>
      </c>
      <c r="K161" t="s">
        <v>303</v>
      </c>
      <c r="L161">
        <v>3</v>
      </c>
      <c r="M161" t="s">
        <v>622</v>
      </c>
      <c r="N161" t="s">
        <v>623</v>
      </c>
      <c r="V161">
        <v>2</v>
      </c>
      <c r="W161" t="s">
        <v>624</v>
      </c>
    </row>
    <row r="162" spans="1:23" x14ac:dyDescent="0.3">
      <c r="A162">
        <v>161</v>
      </c>
      <c r="B162" t="s">
        <v>625</v>
      </c>
      <c r="C162" t="s">
        <v>64</v>
      </c>
      <c r="D162">
        <v>1</v>
      </c>
      <c r="E162" t="s">
        <v>25</v>
      </c>
      <c r="F162" s="1">
        <v>37904</v>
      </c>
      <c r="G162" t="s">
        <v>484</v>
      </c>
      <c r="H162">
        <v>2003</v>
      </c>
      <c r="I162">
        <v>8.3000000000000007</v>
      </c>
      <c r="J162">
        <v>1800000</v>
      </c>
      <c r="K162" t="s">
        <v>626</v>
      </c>
      <c r="L162">
        <v>3</v>
      </c>
      <c r="O162" t="s">
        <v>627</v>
      </c>
      <c r="V162">
        <v>1</v>
      </c>
      <c r="W162" t="s">
        <v>628</v>
      </c>
    </row>
    <row r="163" spans="1:23" x14ac:dyDescent="0.3">
      <c r="A163">
        <v>162</v>
      </c>
      <c r="B163" t="s">
        <v>629</v>
      </c>
      <c r="C163" t="s">
        <v>64</v>
      </c>
      <c r="D163">
        <v>1</v>
      </c>
      <c r="E163" t="s">
        <v>25</v>
      </c>
      <c r="F163" s="1">
        <v>35621</v>
      </c>
      <c r="G163" t="s">
        <v>484</v>
      </c>
      <c r="H163">
        <v>1997</v>
      </c>
      <c r="I163">
        <v>8.6999999999999993</v>
      </c>
      <c r="J163">
        <v>1500000</v>
      </c>
      <c r="K163" t="s">
        <v>630</v>
      </c>
      <c r="L163">
        <v>3</v>
      </c>
      <c r="O163" t="s">
        <v>631</v>
      </c>
      <c r="V163">
        <v>1</v>
      </c>
      <c r="W163" t="s">
        <v>632</v>
      </c>
    </row>
    <row r="164" spans="1:23" x14ac:dyDescent="0.3">
      <c r="A164">
        <v>163</v>
      </c>
      <c r="B164" t="s">
        <v>633</v>
      </c>
      <c r="C164" t="s">
        <v>64</v>
      </c>
      <c r="D164">
        <v>26</v>
      </c>
      <c r="E164" t="s">
        <v>25</v>
      </c>
      <c r="F164" s="1">
        <v>38127</v>
      </c>
      <c r="G164" s="1">
        <v>38430</v>
      </c>
      <c r="H164">
        <v>2004</v>
      </c>
      <c r="I164">
        <v>8.5</v>
      </c>
      <c r="J164">
        <v>1100000</v>
      </c>
      <c r="K164" t="s">
        <v>634</v>
      </c>
      <c r="L164">
        <v>5</v>
      </c>
      <c r="N164" t="s">
        <v>635</v>
      </c>
      <c r="P164" t="s">
        <v>636</v>
      </c>
      <c r="Q164" t="s">
        <v>637</v>
      </c>
      <c r="V164">
        <v>3</v>
      </c>
      <c r="W164" t="s">
        <v>638</v>
      </c>
    </row>
    <row r="165" spans="1:23" x14ac:dyDescent="0.3">
      <c r="A165">
        <v>164</v>
      </c>
      <c r="B165" t="s">
        <v>639</v>
      </c>
      <c r="C165" t="s">
        <v>64</v>
      </c>
      <c r="D165">
        <v>26</v>
      </c>
      <c r="E165" t="s">
        <v>25</v>
      </c>
      <c r="F165" s="1">
        <v>35887</v>
      </c>
      <c r="G165" s="1">
        <v>36069</v>
      </c>
      <c r="H165">
        <v>1998</v>
      </c>
      <c r="I165">
        <v>8.1999999999999993</v>
      </c>
      <c r="J165">
        <v>950000</v>
      </c>
      <c r="K165" t="s">
        <v>640</v>
      </c>
      <c r="L165">
        <v>5</v>
      </c>
      <c r="N165" t="s">
        <v>641</v>
      </c>
      <c r="Q165" t="s">
        <v>642</v>
      </c>
      <c r="V165">
        <v>2</v>
      </c>
      <c r="W165" t="s">
        <v>643</v>
      </c>
    </row>
    <row r="166" spans="1:23" x14ac:dyDescent="0.3">
      <c r="A166">
        <v>165</v>
      </c>
      <c r="B166" t="s">
        <v>644</v>
      </c>
      <c r="C166" t="s">
        <v>242</v>
      </c>
      <c r="D166">
        <v>1</v>
      </c>
      <c r="E166" t="s">
        <v>25</v>
      </c>
      <c r="F166" s="1">
        <v>32340</v>
      </c>
      <c r="G166" s="1">
        <v>32340</v>
      </c>
      <c r="H166">
        <v>1988</v>
      </c>
      <c r="I166">
        <v>8.1</v>
      </c>
      <c r="J166">
        <v>1300000</v>
      </c>
      <c r="K166" t="s">
        <v>645</v>
      </c>
      <c r="L166">
        <v>5</v>
      </c>
      <c r="M166" t="s">
        <v>646</v>
      </c>
      <c r="N166" t="s">
        <v>647</v>
      </c>
      <c r="P166" t="s">
        <v>648</v>
      </c>
      <c r="Q166" t="s">
        <v>649</v>
      </c>
      <c r="V166">
        <v>4</v>
      </c>
      <c r="W166" t="s">
        <v>650</v>
      </c>
    </row>
    <row r="167" spans="1:23" x14ac:dyDescent="0.3">
      <c r="A167">
        <v>166</v>
      </c>
      <c r="B167" t="s">
        <v>651</v>
      </c>
      <c r="C167" t="s">
        <v>242</v>
      </c>
      <c r="D167">
        <v>1</v>
      </c>
      <c r="E167" t="s">
        <v>25</v>
      </c>
      <c r="F167" s="1">
        <v>37092</v>
      </c>
      <c r="G167" s="1">
        <v>37092</v>
      </c>
      <c r="H167">
        <v>2001</v>
      </c>
      <c r="I167">
        <v>8.8000000000000007</v>
      </c>
      <c r="J167">
        <v>2000000</v>
      </c>
      <c r="K167" t="s">
        <v>652</v>
      </c>
      <c r="L167">
        <v>3</v>
      </c>
      <c r="M167" t="s">
        <v>653</v>
      </c>
      <c r="S167" t="s">
        <v>654</v>
      </c>
      <c r="V167">
        <v>2</v>
      </c>
      <c r="W167" t="s">
        <v>655</v>
      </c>
    </row>
    <row r="168" spans="1:23" x14ac:dyDescent="0.3">
      <c r="A168">
        <v>167</v>
      </c>
      <c r="B168" t="s">
        <v>656</v>
      </c>
      <c r="C168" t="s">
        <v>242</v>
      </c>
      <c r="D168">
        <v>1</v>
      </c>
      <c r="E168" t="s">
        <v>25</v>
      </c>
      <c r="F168" s="1">
        <v>35623</v>
      </c>
      <c r="G168" s="1">
        <v>35623</v>
      </c>
      <c r="H168">
        <v>1997</v>
      </c>
      <c r="I168">
        <v>8.6999999999999993</v>
      </c>
      <c r="J168">
        <v>1800000</v>
      </c>
      <c r="K168" t="s">
        <v>657</v>
      </c>
      <c r="L168">
        <v>5</v>
      </c>
      <c r="M168" t="s">
        <v>658</v>
      </c>
      <c r="S168" t="s">
        <v>659</v>
      </c>
      <c r="V168">
        <v>2</v>
      </c>
      <c r="W168" t="s">
        <v>660</v>
      </c>
    </row>
    <row r="169" spans="1:23" x14ac:dyDescent="0.3">
      <c r="A169">
        <v>168</v>
      </c>
      <c r="B169" t="s">
        <v>661</v>
      </c>
      <c r="C169" t="s">
        <v>242</v>
      </c>
      <c r="D169">
        <v>1</v>
      </c>
      <c r="E169" t="s">
        <v>25</v>
      </c>
      <c r="F169" s="1">
        <v>35021</v>
      </c>
      <c r="G169" s="1">
        <v>35021</v>
      </c>
      <c r="H169">
        <v>1995</v>
      </c>
      <c r="I169">
        <v>8.3000000000000007</v>
      </c>
      <c r="J169">
        <v>1000000</v>
      </c>
      <c r="K169" t="s">
        <v>662</v>
      </c>
      <c r="L169">
        <v>4</v>
      </c>
      <c r="O169" t="s">
        <v>663</v>
      </c>
      <c r="Q169" t="s">
        <v>664</v>
      </c>
      <c r="V169">
        <v>2</v>
      </c>
      <c r="W169" t="s">
        <v>665</v>
      </c>
    </row>
    <row r="170" spans="1:23" x14ac:dyDescent="0.3">
      <c r="A170">
        <v>169</v>
      </c>
      <c r="B170" t="s">
        <v>666</v>
      </c>
      <c r="C170" t="s">
        <v>64</v>
      </c>
      <c r="D170">
        <v>26</v>
      </c>
      <c r="E170" t="s">
        <v>25</v>
      </c>
      <c r="F170" s="1">
        <v>37530</v>
      </c>
      <c r="G170" s="1">
        <v>37895</v>
      </c>
      <c r="H170">
        <v>2002</v>
      </c>
      <c r="I170">
        <v>8.5</v>
      </c>
      <c r="J170">
        <v>750000</v>
      </c>
      <c r="K170" t="s">
        <v>667</v>
      </c>
      <c r="L170">
        <v>4</v>
      </c>
      <c r="M170" t="s">
        <v>668</v>
      </c>
      <c r="P170" t="s">
        <v>669</v>
      </c>
      <c r="Q170" t="s">
        <v>670</v>
      </c>
      <c r="V170">
        <v>3</v>
      </c>
      <c r="W170" t="s">
        <v>671</v>
      </c>
    </row>
    <row r="171" spans="1:23" x14ac:dyDescent="0.3">
      <c r="A171">
        <v>170</v>
      </c>
      <c r="B171" t="s">
        <v>672</v>
      </c>
      <c r="C171" t="s">
        <v>64</v>
      </c>
      <c r="D171">
        <v>27</v>
      </c>
      <c r="E171" t="s">
        <v>25</v>
      </c>
      <c r="F171" s="1">
        <v>39173</v>
      </c>
      <c r="G171" s="1">
        <v>39355</v>
      </c>
      <c r="H171">
        <v>2007</v>
      </c>
      <c r="I171">
        <v>8.6</v>
      </c>
      <c r="J171">
        <v>1400000</v>
      </c>
      <c r="K171" t="s">
        <v>673</v>
      </c>
      <c r="L171">
        <v>5</v>
      </c>
      <c r="M171" t="s">
        <v>674</v>
      </c>
      <c r="N171" t="s">
        <v>675</v>
      </c>
      <c r="P171" t="s">
        <v>676</v>
      </c>
      <c r="Q171" t="s">
        <v>677</v>
      </c>
      <c r="V171">
        <v>4</v>
      </c>
      <c r="W171" t="s">
        <v>678</v>
      </c>
    </row>
    <row r="172" spans="1:23" x14ac:dyDescent="0.3">
      <c r="A172">
        <v>171</v>
      </c>
      <c r="B172" t="s">
        <v>679</v>
      </c>
      <c r="C172" t="s">
        <v>221</v>
      </c>
      <c r="D172">
        <v>24</v>
      </c>
      <c r="E172" t="s">
        <v>25</v>
      </c>
      <c r="F172" s="1">
        <v>41551</v>
      </c>
      <c r="G172" s="1">
        <v>41726</v>
      </c>
      <c r="H172">
        <v>2013</v>
      </c>
      <c r="I172">
        <v>8</v>
      </c>
      <c r="J172">
        <v>1100000</v>
      </c>
      <c r="K172" t="s">
        <v>680</v>
      </c>
      <c r="L172">
        <v>4</v>
      </c>
      <c r="N172" t="s">
        <v>681</v>
      </c>
      <c r="P172" t="s">
        <v>682</v>
      </c>
      <c r="Q172" t="s">
        <v>683</v>
      </c>
      <c r="V172">
        <v>3</v>
      </c>
      <c r="W172" t="s">
        <v>684</v>
      </c>
    </row>
    <row r="173" spans="1:23" x14ac:dyDescent="0.3">
      <c r="A173">
        <v>172</v>
      </c>
      <c r="B173" t="s">
        <v>685</v>
      </c>
      <c r="C173" t="s">
        <v>221</v>
      </c>
      <c r="D173">
        <v>6</v>
      </c>
      <c r="E173" t="s">
        <v>25</v>
      </c>
      <c r="F173" s="1">
        <v>36642</v>
      </c>
      <c r="G173" s="1">
        <v>36966</v>
      </c>
      <c r="H173">
        <v>2000</v>
      </c>
      <c r="I173">
        <v>8.1</v>
      </c>
      <c r="J173">
        <v>700000</v>
      </c>
      <c r="K173" t="s">
        <v>686</v>
      </c>
      <c r="L173">
        <v>4</v>
      </c>
      <c r="N173" t="s">
        <v>687</v>
      </c>
      <c r="Q173" t="s">
        <v>688</v>
      </c>
      <c r="V173">
        <v>2</v>
      </c>
      <c r="W173" t="s">
        <v>689</v>
      </c>
    </row>
    <row r="174" spans="1:23" x14ac:dyDescent="0.3">
      <c r="A174">
        <v>173</v>
      </c>
      <c r="B174" t="s">
        <v>690</v>
      </c>
      <c r="C174" t="s">
        <v>64</v>
      </c>
      <c r="D174">
        <v>13</v>
      </c>
      <c r="E174" t="s">
        <v>25</v>
      </c>
      <c r="F174" s="1">
        <v>39290</v>
      </c>
      <c r="G174" s="1">
        <v>39388</v>
      </c>
      <c r="H174">
        <v>2007</v>
      </c>
      <c r="I174">
        <v>8.4</v>
      </c>
      <c r="J174">
        <v>650000</v>
      </c>
      <c r="K174" t="s">
        <v>691</v>
      </c>
      <c r="L174">
        <v>5</v>
      </c>
      <c r="N174" t="s">
        <v>692</v>
      </c>
      <c r="Q174" t="s">
        <v>693</v>
      </c>
      <c r="V174">
        <v>2</v>
      </c>
      <c r="W174" t="s">
        <v>694</v>
      </c>
    </row>
    <row r="175" spans="1:23" x14ac:dyDescent="0.3">
      <c r="A175">
        <v>174</v>
      </c>
      <c r="B175" t="s">
        <v>695</v>
      </c>
      <c r="C175" t="s">
        <v>64</v>
      </c>
      <c r="D175">
        <v>24</v>
      </c>
      <c r="E175" t="s">
        <v>25</v>
      </c>
      <c r="F175" s="1">
        <v>40186</v>
      </c>
      <c r="G175" s="1">
        <v>40354</v>
      </c>
      <c r="H175">
        <v>2010</v>
      </c>
      <c r="I175">
        <v>8.1</v>
      </c>
      <c r="J175">
        <v>900000</v>
      </c>
      <c r="K175" t="s">
        <v>696</v>
      </c>
      <c r="L175">
        <v>4</v>
      </c>
      <c r="N175" t="s">
        <v>697</v>
      </c>
      <c r="P175" t="s">
        <v>698</v>
      </c>
      <c r="Q175" t="s">
        <v>699</v>
      </c>
      <c r="V175">
        <v>3</v>
      </c>
      <c r="W175" t="s">
        <v>700</v>
      </c>
    </row>
    <row r="176" spans="1:23" x14ac:dyDescent="0.3">
      <c r="A176">
        <v>175</v>
      </c>
      <c r="B176" t="s">
        <v>701</v>
      </c>
      <c r="C176" t="s">
        <v>221</v>
      </c>
      <c r="D176">
        <v>13</v>
      </c>
      <c r="E176" t="s">
        <v>25</v>
      </c>
      <c r="F176" s="1">
        <v>40271</v>
      </c>
      <c r="G176" s="1">
        <v>40355</v>
      </c>
      <c r="H176">
        <v>2010</v>
      </c>
      <c r="I176">
        <v>8</v>
      </c>
      <c r="J176">
        <v>1200000</v>
      </c>
      <c r="K176" t="s">
        <v>702</v>
      </c>
      <c r="L176">
        <v>4</v>
      </c>
      <c r="M176" t="s">
        <v>703</v>
      </c>
      <c r="N176" t="s">
        <v>704</v>
      </c>
      <c r="Q176" t="s">
        <v>705</v>
      </c>
      <c r="V176">
        <v>3</v>
      </c>
      <c r="W176" t="s">
        <v>706</v>
      </c>
    </row>
    <row r="177" spans="1:23" x14ac:dyDescent="0.3">
      <c r="A177">
        <v>176</v>
      </c>
      <c r="B177" t="s">
        <v>707</v>
      </c>
      <c r="C177" t="s">
        <v>179</v>
      </c>
      <c r="D177">
        <v>25</v>
      </c>
      <c r="E177" t="s">
        <v>25</v>
      </c>
      <c r="F177" s="1">
        <v>39723</v>
      </c>
      <c r="G177" s="1">
        <v>39898</v>
      </c>
      <c r="H177">
        <v>2008</v>
      </c>
      <c r="I177">
        <v>8.3000000000000007</v>
      </c>
      <c r="J177">
        <v>1000000</v>
      </c>
      <c r="K177" t="s">
        <v>708</v>
      </c>
      <c r="L177">
        <v>4</v>
      </c>
      <c r="M177" t="s">
        <v>709</v>
      </c>
      <c r="N177" t="s">
        <v>710</v>
      </c>
      <c r="V177">
        <v>2</v>
      </c>
      <c r="W177" t="s">
        <v>711</v>
      </c>
    </row>
    <row r="178" spans="1:23" x14ac:dyDescent="0.3">
      <c r="A178">
        <v>177</v>
      </c>
      <c r="B178" t="s">
        <v>712</v>
      </c>
      <c r="C178" t="s">
        <v>713</v>
      </c>
      <c r="D178">
        <v>23</v>
      </c>
      <c r="E178" t="s">
        <v>25</v>
      </c>
      <c r="F178" s="1">
        <v>39360</v>
      </c>
      <c r="G178" s="1">
        <v>39528</v>
      </c>
      <c r="H178">
        <v>2007</v>
      </c>
      <c r="I178">
        <v>8.1999999999999993</v>
      </c>
      <c r="J178">
        <v>850000</v>
      </c>
      <c r="K178" t="s">
        <v>714</v>
      </c>
      <c r="L178">
        <v>5</v>
      </c>
      <c r="N178" t="s">
        <v>715</v>
      </c>
      <c r="T178" t="s">
        <v>716</v>
      </c>
      <c r="V178">
        <v>2</v>
      </c>
      <c r="W178" t="s">
        <v>717</v>
      </c>
    </row>
    <row r="179" spans="1:23" x14ac:dyDescent="0.3">
      <c r="A179">
        <v>178</v>
      </c>
      <c r="B179" t="s">
        <v>718</v>
      </c>
      <c r="C179" t="s">
        <v>179</v>
      </c>
      <c r="D179">
        <v>22</v>
      </c>
      <c r="E179" t="s">
        <v>25</v>
      </c>
      <c r="F179" s="1">
        <v>41022</v>
      </c>
      <c r="G179" s="1">
        <v>41169</v>
      </c>
      <c r="H179">
        <v>2012</v>
      </c>
      <c r="I179">
        <v>8.1999999999999993</v>
      </c>
      <c r="J179">
        <v>750000</v>
      </c>
      <c r="K179" t="s">
        <v>719</v>
      </c>
      <c r="L179">
        <v>2</v>
      </c>
      <c r="N179" t="s">
        <v>720</v>
      </c>
      <c r="Q179" t="s">
        <v>721</v>
      </c>
      <c r="V179">
        <v>2</v>
      </c>
      <c r="W179" t="s">
        <v>722</v>
      </c>
    </row>
    <row r="180" spans="1:23" x14ac:dyDescent="0.3">
      <c r="A180">
        <v>179</v>
      </c>
      <c r="B180" t="s">
        <v>723</v>
      </c>
      <c r="C180" t="s">
        <v>64</v>
      </c>
      <c r="D180">
        <v>26</v>
      </c>
      <c r="E180" t="s">
        <v>25</v>
      </c>
      <c r="F180" s="1">
        <v>40636</v>
      </c>
      <c r="G180" s="1">
        <v>40811</v>
      </c>
      <c r="H180">
        <v>2011</v>
      </c>
      <c r="I180">
        <v>8.4</v>
      </c>
      <c r="J180">
        <v>800000</v>
      </c>
      <c r="K180" t="s">
        <v>724</v>
      </c>
      <c r="L180">
        <v>2</v>
      </c>
      <c r="N180" t="s">
        <v>725</v>
      </c>
      <c r="Q180" t="s">
        <v>726</v>
      </c>
      <c r="V180">
        <v>2</v>
      </c>
      <c r="W180" t="s">
        <v>727</v>
      </c>
    </row>
    <row r="181" spans="1:23" x14ac:dyDescent="0.3">
      <c r="A181">
        <v>180</v>
      </c>
      <c r="B181" t="s">
        <v>728</v>
      </c>
      <c r="C181" t="s">
        <v>24</v>
      </c>
      <c r="D181">
        <v>24</v>
      </c>
      <c r="E181" t="s">
        <v>25</v>
      </c>
      <c r="F181" s="1">
        <v>39180</v>
      </c>
      <c r="G181" s="1">
        <v>39341</v>
      </c>
      <c r="H181">
        <v>2007</v>
      </c>
      <c r="I181">
        <v>7.7</v>
      </c>
      <c r="J181">
        <v>700000</v>
      </c>
      <c r="K181" t="s">
        <v>724</v>
      </c>
      <c r="L181">
        <v>2</v>
      </c>
      <c r="N181" t="s">
        <v>729</v>
      </c>
      <c r="Q181" t="s">
        <v>730</v>
      </c>
      <c r="V181">
        <v>2</v>
      </c>
      <c r="W181" t="s">
        <v>731</v>
      </c>
    </row>
    <row r="182" spans="1:23" x14ac:dyDescent="0.3">
      <c r="A182">
        <v>181</v>
      </c>
      <c r="B182" t="s">
        <v>732</v>
      </c>
      <c r="C182" t="s">
        <v>179</v>
      </c>
      <c r="D182">
        <v>14</v>
      </c>
      <c r="E182" t="s">
        <v>25</v>
      </c>
      <c r="F182" s="1">
        <v>38810</v>
      </c>
      <c r="G182" s="1">
        <v>38901</v>
      </c>
      <c r="H182">
        <v>2006</v>
      </c>
      <c r="I182">
        <v>7.8</v>
      </c>
      <c r="J182">
        <v>1000000</v>
      </c>
      <c r="K182" t="s">
        <v>733</v>
      </c>
      <c r="L182">
        <v>4</v>
      </c>
      <c r="N182" t="s">
        <v>734</v>
      </c>
      <c r="Q182" t="s">
        <v>735</v>
      </c>
      <c r="V182">
        <v>2</v>
      </c>
      <c r="W182" t="s">
        <v>736</v>
      </c>
    </row>
    <row r="183" spans="1:23" x14ac:dyDescent="0.3">
      <c r="A183">
        <v>182</v>
      </c>
      <c r="B183" t="s">
        <v>737</v>
      </c>
      <c r="C183" t="s">
        <v>64</v>
      </c>
      <c r="D183">
        <v>13</v>
      </c>
      <c r="E183" t="s">
        <v>25</v>
      </c>
      <c r="F183" s="1">
        <v>39906</v>
      </c>
      <c r="G183" s="1">
        <v>39990</v>
      </c>
      <c r="H183">
        <v>2009</v>
      </c>
      <c r="I183">
        <v>7.9</v>
      </c>
      <c r="J183">
        <v>900000</v>
      </c>
      <c r="K183" t="s">
        <v>738</v>
      </c>
      <c r="L183">
        <v>3</v>
      </c>
      <c r="N183" t="s">
        <v>739</v>
      </c>
      <c r="T183" t="s">
        <v>740</v>
      </c>
      <c r="V183">
        <v>2</v>
      </c>
      <c r="W183" t="s">
        <v>741</v>
      </c>
    </row>
    <row r="184" spans="1:23" x14ac:dyDescent="0.3">
      <c r="A184">
        <v>183</v>
      </c>
      <c r="B184" t="s">
        <v>742</v>
      </c>
      <c r="C184" t="s">
        <v>242</v>
      </c>
      <c r="D184">
        <v>1</v>
      </c>
      <c r="E184" t="s">
        <v>25</v>
      </c>
      <c r="F184" s="1">
        <v>42630</v>
      </c>
      <c r="G184" s="1">
        <v>42630</v>
      </c>
      <c r="H184">
        <v>2016</v>
      </c>
      <c r="I184">
        <v>8.9</v>
      </c>
      <c r="J184">
        <v>1600000</v>
      </c>
      <c r="K184" t="s">
        <v>743</v>
      </c>
      <c r="L184">
        <v>3</v>
      </c>
      <c r="M184" t="s">
        <v>744</v>
      </c>
      <c r="O184" t="s">
        <v>745</v>
      </c>
      <c r="V184">
        <v>2</v>
      </c>
      <c r="W184" t="s">
        <v>746</v>
      </c>
    </row>
    <row r="185" spans="1:23" x14ac:dyDescent="0.3">
      <c r="A185">
        <v>184</v>
      </c>
      <c r="B185" t="s">
        <v>747</v>
      </c>
      <c r="C185" t="s">
        <v>242</v>
      </c>
      <c r="D185">
        <v>1</v>
      </c>
      <c r="E185" t="s">
        <v>25</v>
      </c>
      <c r="F185" s="1">
        <v>42608</v>
      </c>
      <c r="G185" s="1">
        <v>42608</v>
      </c>
      <c r="H185">
        <v>2016</v>
      </c>
      <c r="I185">
        <v>8.9</v>
      </c>
      <c r="J185">
        <v>2200000</v>
      </c>
      <c r="K185" t="s">
        <v>748</v>
      </c>
      <c r="L185">
        <v>3</v>
      </c>
      <c r="M185" t="s">
        <v>749</v>
      </c>
      <c r="N185" t="s">
        <v>750</v>
      </c>
      <c r="V185">
        <v>2</v>
      </c>
      <c r="W185" t="s">
        <v>751</v>
      </c>
    </row>
    <row r="186" spans="1:23" x14ac:dyDescent="0.3">
      <c r="A186">
        <v>185</v>
      </c>
      <c r="B186" t="s">
        <v>752</v>
      </c>
      <c r="C186" t="s">
        <v>242</v>
      </c>
      <c r="D186">
        <v>1</v>
      </c>
      <c r="E186" t="s">
        <v>25</v>
      </c>
      <c r="F186" s="1">
        <v>43665</v>
      </c>
      <c r="G186" s="1">
        <v>43665</v>
      </c>
      <c r="H186">
        <v>2019</v>
      </c>
      <c r="I186">
        <v>8.3000000000000007</v>
      </c>
      <c r="J186">
        <v>1200000</v>
      </c>
      <c r="K186" t="s">
        <v>748</v>
      </c>
      <c r="L186">
        <v>3</v>
      </c>
      <c r="N186" t="s">
        <v>753</v>
      </c>
      <c r="S186" t="s">
        <v>754</v>
      </c>
      <c r="V186">
        <v>2</v>
      </c>
      <c r="W186" t="s">
        <v>755</v>
      </c>
    </row>
    <row r="187" spans="1:23" x14ac:dyDescent="0.3">
      <c r="A187">
        <v>186</v>
      </c>
      <c r="B187" t="s">
        <v>756</v>
      </c>
      <c r="C187" t="s">
        <v>242</v>
      </c>
      <c r="D187">
        <v>1</v>
      </c>
      <c r="E187" t="s">
        <v>25</v>
      </c>
      <c r="F187" s="1">
        <v>39144</v>
      </c>
      <c r="G187" s="1">
        <v>39144</v>
      </c>
      <c r="H187">
        <v>2007</v>
      </c>
      <c r="I187">
        <v>7.8</v>
      </c>
      <c r="J187">
        <v>800000</v>
      </c>
      <c r="K187" t="s">
        <v>757</v>
      </c>
      <c r="L187">
        <v>2</v>
      </c>
      <c r="M187" t="s">
        <v>758</v>
      </c>
      <c r="N187" t="s">
        <v>759</v>
      </c>
      <c r="V187">
        <v>2</v>
      </c>
      <c r="W187" t="s">
        <v>760</v>
      </c>
    </row>
    <row r="188" spans="1:23" x14ac:dyDescent="0.3">
      <c r="A188">
        <v>187</v>
      </c>
      <c r="B188" t="s">
        <v>761</v>
      </c>
      <c r="C188" t="s">
        <v>242</v>
      </c>
      <c r="D188">
        <v>1</v>
      </c>
      <c r="E188" t="s">
        <v>25</v>
      </c>
      <c r="F188" s="1">
        <v>32249</v>
      </c>
      <c r="G188" s="1">
        <v>32249</v>
      </c>
      <c r="H188">
        <v>1988</v>
      </c>
      <c r="I188">
        <v>8.5</v>
      </c>
      <c r="J188">
        <v>900000</v>
      </c>
      <c r="K188" t="s">
        <v>762</v>
      </c>
      <c r="L188">
        <v>2</v>
      </c>
      <c r="M188" t="s">
        <v>763</v>
      </c>
      <c r="S188" t="s">
        <v>764</v>
      </c>
      <c r="V188">
        <v>2</v>
      </c>
      <c r="W188" t="s">
        <v>765</v>
      </c>
    </row>
    <row r="189" spans="1:23" x14ac:dyDescent="0.3">
      <c r="A189">
        <v>188</v>
      </c>
      <c r="B189" t="s">
        <v>766</v>
      </c>
      <c r="C189" t="s">
        <v>242</v>
      </c>
      <c r="D189">
        <v>1</v>
      </c>
      <c r="E189" t="s">
        <v>25</v>
      </c>
      <c r="F189" s="1">
        <v>38311</v>
      </c>
      <c r="G189" s="1">
        <v>38311</v>
      </c>
      <c r="H189">
        <v>2004</v>
      </c>
      <c r="I189">
        <v>8.6</v>
      </c>
      <c r="J189">
        <v>1700000</v>
      </c>
      <c r="K189" t="s">
        <v>382</v>
      </c>
      <c r="L189">
        <v>4</v>
      </c>
      <c r="M189" t="s">
        <v>767</v>
      </c>
      <c r="S189" t="s">
        <v>768</v>
      </c>
      <c r="V189">
        <v>2</v>
      </c>
      <c r="W189" t="s">
        <v>769</v>
      </c>
    </row>
    <row r="190" spans="1:23" x14ac:dyDescent="0.3">
      <c r="A190">
        <v>189</v>
      </c>
      <c r="B190" t="s">
        <v>770</v>
      </c>
      <c r="C190" t="s">
        <v>242</v>
      </c>
      <c r="D190">
        <v>1</v>
      </c>
      <c r="E190" t="s">
        <v>25</v>
      </c>
      <c r="F190" s="1">
        <v>32249</v>
      </c>
      <c r="G190" s="1">
        <v>32249</v>
      </c>
      <c r="H190">
        <v>1988</v>
      </c>
      <c r="I190">
        <v>8.3000000000000007</v>
      </c>
      <c r="J190">
        <v>1500000</v>
      </c>
      <c r="K190" t="s">
        <v>771</v>
      </c>
      <c r="L190">
        <v>3</v>
      </c>
      <c r="M190" t="s">
        <v>772</v>
      </c>
      <c r="S190" t="s">
        <v>773</v>
      </c>
      <c r="V190">
        <v>2</v>
      </c>
      <c r="W190" t="s">
        <v>774</v>
      </c>
    </row>
    <row r="191" spans="1:23" x14ac:dyDescent="0.3">
      <c r="A191">
        <v>190</v>
      </c>
      <c r="B191" t="s">
        <v>775</v>
      </c>
      <c r="C191" t="s">
        <v>179</v>
      </c>
      <c r="D191">
        <v>12</v>
      </c>
      <c r="E191" t="s">
        <v>25</v>
      </c>
      <c r="F191" s="1">
        <v>43198</v>
      </c>
      <c r="G191" s="1">
        <v>43282</v>
      </c>
      <c r="H191">
        <v>2018</v>
      </c>
      <c r="I191">
        <v>7.3</v>
      </c>
      <c r="J191">
        <v>600000</v>
      </c>
      <c r="K191" t="s">
        <v>776</v>
      </c>
      <c r="L191">
        <v>4</v>
      </c>
      <c r="N191" t="s">
        <v>777</v>
      </c>
      <c r="Q191" t="s">
        <v>778</v>
      </c>
      <c r="V191">
        <v>2</v>
      </c>
      <c r="W191" t="s">
        <v>779</v>
      </c>
    </row>
    <row r="192" spans="1:23" x14ac:dyDescent="0.3">
      <c r="A192">
        <v>191</v>
      </c>
      <c r="B192" t="s">
        <v>780</v>
      </c>
      <c r="C192" t="s">
        <v>179</v>
      </c>
      <c r="D192">
        <v>13</v>
      </c>
      <c r="E192" t="s">
        <v>25</v>
      </c>
      <c r="F192" s="1">
        <v>40817</v>
      </c>
      <c r="G192" s="1">
        <v>40901</v>
      </c>
      <c r="H192">
        <v>2011</v>
      </c>
      <c r="I192">
        <v>8.4</v>
      </c>
      <c r="J192">
        <v>1100000</v>
      </c>
      <c r="K192" t="s">
        <v>781</v>
      </c>
      <c r="L192">
        <v>4</v>
      </c>
      <c r="M192" t="s">
        <v>782</v>
      </c>
      <c r="N192" t="s">
        <v>783</v>
      </c>
      <c r="V192">
        <v>2</v>
      </c>
      <c r="W192" t="s">
        <v>784</v>
      </c>
    </row>
    <row r="193" spans="1:23" x14ac:dyDescent="0.3">
      <c r="A193">
        <v>192</v>
      </c>
      <c r="B193" t="s">
        <v>785</v>
      </c>
      <c r="C193" t="s">
        <v>713</v>
      </c>
      <c r="D193">
        <v>26</v>
      </c>
      <c r="E193" t="s">
        <v>25</v>
      </c>
      <c r="F193" s="1">
        <v>41917</v>
      </c>
      <c r="G193" s="1">
        <v>42365</v>
      </c>
      <c r="H193">
        <v>2014</v>
      </c>
      <c r="I193">
        <v>8.1999999999999993</v>
      </c>
      <c r="J193">
        <v>900000</v>
      </c>
      <c r="K193" t="s">
        <v>609</v>
      </c>
      <c r="L193">
        <v>3</v>
      </c>
      <c r="M193" t="s">
        <v>786</v>
      </c>
      <c r="N193" t="s">
        <v>787</v>
      </c>
      <c r="V193">
        <v>2</v>
      </c>
      <c r="W193" t="s">
        <v>788</v>
      </c>
    </row>
    <row r="194" spans="1:23" x14ac:dyDescent="0.3">
      <c r="A194">
        <v>193</v>
      </c>
      <c r="B194" t="s">
        <v>789</v>
      </c>
      <c r="C194" t="s">
        <v>64</v>
      </c>
      <c r="D194">
        <v>12</v>
      </c>
      <c r="E194" t="s">
        <v>25</v>
      </c>
      <c r="F194" s="1">
        <v>43477</v>
      </c>
      <c r="G194" s="1">
        <v>43554</v>
      </c>
      <c r="H194">
        <v>2019</v>
      </c>
      <c r="I194">
        <v>8.4</v>
      </c>
      <c r="J194">
        <v>1300000</v>
      </c>
      <c r="K194" t="s">
        <v>790</v>
      </c>
      <c r="L194">
        <v>4</v>
      </c>
      <c r="N194" t="s">
        <v>791</v>
      </c>
      <c r="Q194" t="s">
        <v>792</v>
      </c>
      <c r="V194">
        <v>2</v>
      </c>
      <c r="W194" t="s">
        <v>793</v>
      </c>
    </row>
    <row r="195" spans="1:23" x14ac:dyDescent="0.3">
      <c r="A195">
        <v>194</v>
      </c>
      <c r="B195" t="s">
        <v>794</v>
      </c>
      <c r="C195" t="s">
        <v>221</v>
      </c>
      <c r="D195">
        <v>22</v>
      </c>
      <c r="E195" t="s">
        <v>25</v>
      </c>
      <c r="F195" s="1">
        <v>42833</v>
      </c>
      <c r="G195" s="1">
        <v>42994</v>
      </c>
      <c r="H195">
        <v>2017</v>
      </c>
      <c r="I195">
        <v>7.5</v>
      </c>
      <c r="J195">
        <v>500000</v>
      </c>
      <c r="K195" t="s">
        <v>795</v>
      </c>
      <c r="L195">
        <v>4</v>
      </c>
      <c r="O195" t="s">
        <v>796</v>
      </c>
      <c r="V195">
        <v>1</v>
      </c>
      <c r="W195" t="s">
        <v>797</v>
      </c>
    </row>
    <row r="196" spans="1:23" x14ac:dyDescent="0.3">
      <c r="A196">
        <v>195</v>
      </c>
      <c r="B196" t="s">
        <v>798</v>
      </c>
      <c r="C196" t="s">
        <v>221</v>
      </c>
      <c r="D196">
        <v>12</v>
      </c>
      <c r="E196" t="s">
        <v>25</v>
      </c>
      <c r="F196" s="1">
        <v>44112</v>
      </c>
      <c r="G196" s="1">
        <v>44189</v>
      </c>
      <c r="H196">
        <v>2020</v>
      </c>
      <c r="I196">
        <v>7.8</v>
      </c>
      <c r="J196">
        <v>450000</v>
      </c>
      <c r="K196" t="s">
        <v>799</v>
      </c>
      <c r="L196">
        <v>3</v>
      </c>
      <c r="N196" t="s">
        <v>800</v>
      </c>
      <c r="Q196" t="s">
        <v>801</v>
      </c>
      <c r="V196">
        <v>2</v>
      </c>
      <c r="W196" t="s">
        <v>802</v>
      </c>
    </row>
    <row r="197" spans="1:23" x14ac:dyDescent="0.3">
      <c r="A197">
        <v>196</v>
      </c>
      <c r="B197" t="s">
        <v>803</v>
      </c>
      <c r="C197" t="s">
        <v>221</v>
      </c>
      <c r="D197">
        <v>13</v>
      </c>
      <c r="E197" t="s">
        <v>25</v>
      </c>
      <c r="F197" s="1">
        <v>44289</v>
      </c>
      <c r="G197" s="1">
        <v>44366</v>
      </c>
      <c r="H197">
        <v>2021</v>
      </c>
      <c r="I197">
        <v>8.4</v>
      </c>
      <c r="J197">
        <v>550000</v>
      </c>
      <c r="K197" t="s">
        <v>804</v>
      </c>
      <c r="L197">
        <v>4</v>
      </c>
      <c r="N197" t="s">
        <v>805</v>
      </c>
      <c r="Q197" t="s">
        <v>806</v>
      </c>
      <c r="V197">
        <v>2</v>
      </c>
      <c r="W197" t="s">
        <v>807</v>
      </c>
    </row>
    <row r="198" spans="1:23" x14ac:dyDescent="0.3">
      <c r="A198">
        <v>197</v>
      </c>
      <c r="B198" t="s">
        <v>808</v>
      </c>
      <c r="C198" t="s">
        <v>221</v>
      </c>
      <c r="D198">
        <v>23</v>
      </c>
      <c r="E198" t="s">
        <v>25</v>
      </c>
      <c r="F198" s="1">
        <v>44014</v>
      </c>
      <c r="G198" s="1">
        <v>44181</v>
      </c>
      <c r="H198">
        <v>2020</v>
      </c>
      <c r="I198">
        <v>8.3000000000000007</v>
      </c>
      <c r="J198">
        <v>500000</v>
      </c>
      <c r="K198" t="s">
        <v>809</v>
      </c>
      <c r="L198">
        <v>4</v>
      </c>
      <c r="M198" t="s">
        <v>810</v>
      </c>
      <c r="V198">
        <v>1</v>
      </c>
      <c r="W198" t="s">
        <v>811</v>
      </c>
    </row>
    <row r="199" spans="1:23" x14ac:dyDescent="0.3">
      <c r="A199">
        <v>198</v>
      </c>
      <c r="B199" t="s">
        <v>812</v>
      </c>
      <c r="C199" t="s">
        <v>221</v>
      </c>
      <c r="D199">
        <v>13</v>
      </c>
      <c r="E199" t="s">
        <v>25</v>
      </c>
      <c r="F199" s="1">
        <v>43196</v>
      </c>
      <c r="G199" s="1">
        <v>43280</v>
      </c>
      <c r="H199">
        <v>2018</v>
      </c>
      <c r="I199">
        <v>7.9</v>
      </c>
      <c r="J199">
        <v>480000</v>
      </c>
      <c r="K199" t="s">
        <v>813</v>
      </c>
      <c r="L199">
        <v>4</v>
      </c>
      <c r="N199" t="s">
        <v>814</v>
      </c>
      <c r="Q199" t="s">
        <v>815</v>
      </c>
      <c r="V199">
        <v>2</v>
      </c>
      <c r="W199" t="s">
        <v>816</v>
      </c>
    </row>
    <row r="200" spans="1:23" x14ac:dyDescent="0.3">
      <c r="A200">
        <v>199</v>
      </c>
      <c r="B200" t="s">
        <v>817</v>
      </c>
      <c r="C200" t="s">
        <v>221</v>
      </c>
      <c r="D200">
        <v>24</v>
      </c>
      <c r="E200" t="s">
        <v>25</v>
      </c>
      <c r="F200" s="1">
        <v>43565</v>
      </c>
      <c r="G200" s="1">
        <v>43740</v>
      </c>
      <c r="H200">
        <v>2019</v>
      </c>
      <c r="I200">
        <v>8.1</v>
      </c>
      <c r="J200">
        <v>450000</v>
      </c>
      <c r="K200" t="s">
        <v>818</v>
      </c>
      <c r="L200">
        <v>3</v>
      </c>
      <c r="M200" t="s">
        <v>819</v>
      </c>
      <c r="V200">
        <v>1</v>
      </c>
      <c r="W200" t="s">
        <v>820</v>
      </c>
    </row>
    <row r="201" spans="1:23" x14ac:dyDescent="0.3">
      <c r="A201">
        <v>200</v>
      </c>
      <c r="B201" t="s">
        <v>821</v>
      </c>
      <c r="C201" t="s">
        <v>221</v>
      </c>
      <c r="D201">
        <v>12</v>
      </c>
      <c r="E201" t="s">
        <v>25</v>
      </c>
      <c r="F201" s="1">
        <v>42014</v>
      </c>
      <c r="G201" s="1">
        <v>42091</v>
      </c>
      <c r="H201">
        <v>2015</v>
      </c>
      <c r="I201">
        <v>8.1999999999999993</v>
      </c>
      <c r="J201">
        <v>800000</v>
      </c>
      <c r="K201" t="s">
        <v>822</v>
      </c>
      <c r="L201">
        <v>5</v>
      </c>
      <c r="N201" t="s">
        <v>823</v>
      </c>
      <c r="Q201" t="s">
        <v>824</v>
      </c>
      <c r="V201">
        <v>2</v>
      </c>
      <c r="W201" t="s">
        <v>825</v>
      </c>
    </row>
    <row r="202" spans="1:23" x14ac:dyDescent="0.3">
      <c r="A202">
        <v>201</v>
      </c>
      <c r="B202" t="s">
        <v>826</v>
      </c>
      <c r="C202" t="s">
        <v>24</v>
      </c>
      <c r="D202">
        <v>12</v>
      </c>
      <c r="E202" t="s">
        <v>46</v>
      </c>
      <c r="F202" s="1">
        <v>46030</v>
      </c>
      <c r="G202" s="1">
        <v>46107</v>
      </c>
      <c r="H202">
        <v>2026</v>
      </c>
      <c r="I202">
        <v>8.6999999999999993</v>
      </c>
      <c r="J202">
        <v>1897654</v>
      </c>
      <c r="K202" t="s">
        <v>97</v>
      </c>
      <c r="L202">
        <v>5</v>
      </c>
      <c r="N202" t="s">
        <v>99</v>
      </c>
      <c r="V202">
        <v>1</v>
      </c>
      <c r="W202" t="s">
        <v>827</v>
      </c>
    </row>
    <row r="203" spans="1:23" x14ac:dyDescent="0.3">
      <c r="A203">
        <v>202</v>
      </c>
      <c r="B203" t="s">
        <v>828</v>
      </c>
      <c r="C203" t="s">
        <v>511</v>
      </c>
      <c r="D203">
        <v>36</v>
      </c>
      <c r="E203" t="s">
        <v>25</v>
      </c>
      <c r="F203" s="1">
        <v>35823</v>
      </c>
      <c r="G203" s="1">
        <v>36182</v>
      </c>
      <c r="H203">
        <v>1998</v>
      </c>
      <c r="I203">
        <v>7.5</v>
      </c>
      <c r="J203">
        <v>3200000</v>
      </c>
      <c r="K203" t="s">
        <v>395</v>
      </c>
      <c r="L203">
        <v>3</v>
      </c>
      <c r="M203" t="s">
        <v>54</v>
      </c>
      <c r="U203" t="s">
        <v>512</v>
      </c>
      <c r="V203">
        <v>2</v>
      </c>
      <c r="W203" t="s">
        <v>829</v>
      </c>
    </row>
    <row r="204" spans="1:23" x14ac:dyDescent="0.3">
      <c r="A204">
        <v>203</v>
      </c>
      <c r="B204" t="s">
        <v>462</v>
      </c>
      <c r="C204" t="s">
        <v>24</v>
      </c>
      <c r="D204">
        <v>8</v>
      </c>
      <c r="E204" t="s">
        <v>25</v>
      </c>
      <c r="F204" s="1">
        <v>45424</v>
      </c>
      <c r="G204" s="1">
        <v>45473</v>
      </c>
      <c r="H204">
        <v>2024</v>
      </c>
      <c r="I204">
        <v>8</v>
      </c>
      <c r="J204">
        <v>771978</v>
      </c>
      <c r="K204" t="s">
        <v>86</v>
      </c>
      <c r="L204">
        <v>5</v>
      </c>
      <c r="M204" t="s">
        <v>87</v>
      </c>
      <c r="N204" t="s">
        <v>88</v>
      </c>
      <c r="P204" t="s">
        <v>464</v>
      </c>
      <c r="V204">
        <v>3</v>
      </c>
      <c r="W204" t="s">
        <v>465</v>
      </c>
    </row>
    <row r="205" spans="1:23" x14ac:dyDescent="0.3">
      <c r="A205">
        <v>204</v>
      </c>
      <c r="B205" t="s">
        <v>848</v>
      </c>
      <c r="C205" t="s">
        <v>242</v>
      </c>
      <c r="D205">
        <v>1</v>
      </c>
      <c r="E205" t="s">
        <v>25</v>
      </c>
      <c r="F205" s="1">
        <v>45856</v>
      </c>
      <c r="G205" s="1">
        <v>45856</v>
      </c>
      <c r="H205">
        <v>2025</v>
      </c>
      <c r="I205">
        <v>8.6999999999999993</v>
      </c>
      <c r="J205">
        <v>1456789</v>
      </c>
      <c r="K205" t="s">
        <v>86</v>
      </c>
      <c r="L205">
        <v>5</v>
      </c>
      <c r="N205" t="s">
        <v>830</v>
      </c>
      <c r="V205">
        <v>1</v>
      </c>
      <c r="W205" t="s">
        <v>91</v>
      </c>
    </row>
    <row r="206" spans="1:23" x14ac:dyDescent="0.3">
      <c r="A206">
        <v>205</v>
      </c>
      <c r="B206" t="s">
        <v>831</v>
      </c>
      <c r="C206" t="s">
        <v>494</v>
      </c>
      <c r="D206">
        <v>12</v>
      </c>
      <c r="E206" t="s">
        <v>25</v>
      </c>
      <c r="F206" s="1">
        <v>45942</v>
      </c>
      <c r="G206" s="1">
        <v>46020</v>
      </c>
      <c r="H206">
        <v>2025</v>
      </c>
      <c r="I206">
        <v>4.5999999999999996</v>
      </c>
      <c r="J206">
        <v>987654</v>
      </c>
      <c r="K206" t="s">
        <v>499</v>
      </c>
      <c r="L206">
        <v>5</v>
      </c>
      <c r="M206" t="s">
        <v>500</v>
      </c>
      <c r="N206" t="s">
        <v>501</v>
      </c>
      <c r="P206" t="s">
        <v>502</v>
      </c>
      <c r="V206">
        <v>3</v>
      </c>
      <c r="W206" t="s">
        <v>832</v>
      </c>
    </row>
    <row r="207" spans="1:23" x14ac:dyDescent="0.3">
      <c r="A207">
        <v>206</v>
      </c>
      <c r="B207" t="s">
        <v>833</v>
      </c>
      <c r="C207" t="s">
        <v>24</v>
      </c>
      <c r="D207">
        <v>21</v>
      </c>
      <c r="E207" t="s">
        <v>25</v>
      </c>
      <c r="F207" s="1">
        <v>45416</v>
      </c>
      <c r="G207" s="1">
        <v>45577</v>
      </c>
      <c r="H207">
        <v>2024</v>
      </c>
      <c r="I207">
        <v>8.1</v>
      </c>
      <c r="J207">
        <v>349727</v>
      </c>
      <c r="K207" t="s">
        <v>110</v>
      </c>
      <c r="L207">
        <v>4</v>
      </c>
      <c r="N207" t="s">
        <v>111</v>
      </c>
      <c r="P207" t="s">
        <v>112</v>
      </c>
      <c r="Q207" t="s">
        <v>113</v>
      </c>
      <c r="V207">
        <v>3</v>
      </c>
      <c r="W207" t="s">
        <v>834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DCC3-055D-4EFC-83D6-6D402967C6B0}">
  <sheetPr>
    <tabColor rgb="FF00B050"/>
  </sheetPr>
  <dimension ref="A1:Z207"/>
  <sheetViews>
    <sheetView workbookViewId="0">
      <selection activeCell="AA16" sqref="AA16"/>
    </sheetView>
  </sheetViews>
  <sheetFormatPr defaultRowHeight="14.4" x14ac:dyDescent="0.3"/>
  <cols>
    <col min="1" max="1" width="8.77734375" bestFit="1" customWidth="1"/>
    <col min="2" max="2" width="54.6640625" bestFit="1" customWidth="1"/>
    <col min="3" max="3" width="11.88671875" bestFit="1" customWidth="1"/>
    <col min="4" max="4" width="8.33203125" bestFit="1" customWidth="1"/>
    <col min="5" max="5" width="13.5546875" bestFit="1" customWidth="1"/>
    <col min="6" max="7" width="10.33203125" bestFit="1" customWidth="1"/>
    <col min="8" max="8" width="5" bestFit="1" customWidth="1"/>
    <col min="9" max="9" width="5.88671875" bestFit="1" customWidth="1"/>
    <col min="10" max="10" width="9.6640625" bestFit="1" customWidth="1"/>
    <col min="11" max="11" width="54.77734375" bestFit="1" customWidth="1"/>
    <col min="12" max="12" width="12.44140625" bestFit="1" customWidth="1"/>
    <col min="13" max="13" width="37" bestFit="1" customWidth="1"/>
    <col min="14" max="14" width="83.44140625" bestFit="1" customWidth="1"/>
    <col min="15" max="15" width="71.44140625" bestFit="1" customWidth="1"/>
    <col min="16" max="16" width="95.6640625" bestFit="1" customWidth="1"/>
    <col min="17" max="17" width="70.44140625" bestFit="1" customWidth="1"/>
    <col min="18" max="18" width="72.109375" bestFit="1" customWidth="1"/>
    <col min="19" max="19" width="67.109375" bestFit="1" customWidth="1"/>
    <col min="20" max="20" width="68" bestFit="1" customWidth="1"/>
    <col min="21" max="21" width="44.33203125" bestFit="1" customWidth="1"/>
    <col min="22" max="22" width="24.6640625" bestFit="1" customWidth="1"/>
    <col min="23" max="23" width="51.44140625" bestFit="1" customWidth="1"/>
    <col min="24" max="24" width="6.6640625" bestFit="1" customWidth="1"/>
    <col min="25" max="25" width="13.21875" bestFit="1" customWidth="1"/>
    <col min="26" max="26" width="10.441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838</v>
      </c>
      <c r="Y1" t="s">
        <v>841</v>
      </c>
      <c r="Z1" t="s">
        <v>842</v>
      </c>
    </row>
    <row r="2" spans="1:26" x14ac:dyDescent="0.3">
      <c r="A2">
        <v>1</v>
      </c>
      <c r="B2" t="s">
        <v>23</v>
      </c>
      <c r="C2" t="s">
        <v>24</v>
      </c>
      <c r="D2">
        <v>220</v>
      </c>
      <c r="E2" t="s">
        <v>25</v>
      </c>
      <c r="F2" s="1">
        <v>37532</v>
      </c>
      <c r="G2" s="1">
        <v>39121</v>
      </c>
      <c r="H2">
        <v>2002</v>
      </c>
      <c r="I2">
        <v>7.9</v>
      </c>
      <c r="J2">
        <v>1727877</v>
      </c>
      <c r="K2" t="s">
        <v>26</v>
      </c>
      <c r="L2">
        <v>5</v>
      </c>
      <c r="M2" t="s">
        <v>27</v>
      </c>
      <c r="N2" t="s">
        <v>28</v>
      </c>
      <c r="P2" t="s">
        <v>29</v>
      </c>
      <c r="V2">
        <v>3</v>
      </c>
      <c r="W2" t="s">
        <v>30</v>
      </c>
      <c r="X2">
        <f>COUNTA(M3:M207)</f>
        <v>64</v>
      </c>
      <c r="Y2" t="s">
        <v>839</v>
      </c>
      <c r="Z2" s="2">
        <f>(X2/X11)</f>
        <v>0.1641025641025641</v>
      </c>
    </row>
    <row r="3" spans="1:26" x14ac:dyDescent="0.3">
      <c r="A3">
        <v>2</v>
      </c>
      <c r="B3" t="s">
        <v>31</v>
      </c>
      <c r="C3" t="s">
        <v>24</v>
      </c>
      <c r="D3">
        <v>500</v>
      </c>
      <c r="E3" t="s">
        <v>25</v>
      </c>
      <c r="F3" s="1">
        <v>39128</v>
      </c>
      <c r="G3" s="1">
        <v>42817</v>
      </c>
      <c r="H3">
        <v>2007</v>
      </c>
      <c r="I3">
        <v>8.1999999999999993</v>
      </c>
      <c r="J3">
        <v>2456789</v>
      </c>
      <c r="K3" t="s">
        <v>26</v>
      </c>
      <c r="L3">
        <v>5</v>
      </c>
      <c r="M3" t="s">
        <v>27</v>
      </c>
      <c r="N3" t="s">
        <v>28</v>
      </c>
      <c r="P3" t="s">
        <v>32</v>
      </c>
      <c r="V3">
        <v>3</v>
      </c>
      <c r="W3" t="s">
        <v>33</v>
      </c>
      <c r="X3">
        <f>COUNTA(N2:N207)</f>
        <v>169</v>
      </c>
      <c r="Y3" t="s">
        <v>840</v>
      </c>
      <c r="Z3" s="2">
        <f>(X3/X11)</f>
        <v>0.43333333333333335</v>
      </c>
    </row>
    <row r="4" spans="1:26" x14ac:dyDescent="0.3">
      <c r="A4">
        <v>3</v>
      </c>
      <c r="B4" t="s">
        <v>34</v>
      </c>
      <c r="C4" t="s">
        <v>24</v>
      </c>
      <c r="D4">
        <v>153</v>
      </c>
      <c r="E4" t="s">
        <v>25</v>
      </c>
      <c r="F4" s="1">
        <v>31469</v>
      </c>
      <c r="G4" s="1">
        <v>32610</v>
      </c>
      <c r="H4">
        <v>1986</v>
      </c>
      <c r="I4">
        <v>8.5</v>
      </c>
      <c r="J4">
        <v>987654</v>
      </c>
      <c r="K4" t="s">
        <v>35</v>
      </c>
      <c r="L4">
        <v>6</v>
      </c>
      <c r="N4" t="s">
        <v>36</v>
      </c>
      <c r="Q4" t="s">
        <v>37</v>
      </c>
      <c r="V4">
        <v>2</v>
      </c>
      <c r="W4" t="s">
        <v>38</v>
      </c>
      <c r="X4">
        <f>COUNTA(O195:O207)</f>
        <v>1</v>
      </c>
      <c r="Y4" t="s">
        <v>14</v>
      </c>
      <c r="Z4" s="2">
        <f>(X4/X11)</f>
        <v>2.5641025641025641E-3</v>
      </c>
    </row>
    <row r="5" spans="1:26" x14ac:dyDescent="0.3">
      <c r="A5">
        <v>4</v>
      </c>
      <c r="B5" t="s">
        <v>39</v>
      </c>
      <c r="C5" t="s">
        <v>24</v>
      </c>
      <c r="D5">
        <v>291</v>
      </c>
      <c r="E5" t="s">
        <v>25</v>
      </c>
      <c r="F5" s="1">
        <v>32624</v>
      </c>
      <c r="G5" s="1">
        <v>35095</v>
      </c>
      <c r="H5">
        <v>1989</v>
      </c>
      <c r="I5">
        <v>8.9</v>
      </c>
      <c r="J5">
        <v>15432101</v>
      </c>
      <c r="K5" t="s">
        <v>35</v>
      </c>
      <c r="L5">
        <v>6</v>
      </c>
      <c r="N5" t="s">
        <v>36</v>
      </c>
      <c r="Q5" t="s">
        <v>40</v>
      </c>
      <c r="V5">
        <v>2</v>
      </c>
      <c r="W5" t="s">
        <v>41</v>
      </c>
      <c r="X5">
        <f>COUNTA(P2:P207)</f>
        <v>72</v>
      </c>
      <c r="Y5" t="s">
        <v>15</v>
      </c>
      <c r="Z5" s="2">
        <f>(X5/X11)</f>
        <v>0.18461538461538463</v>
      </c>
    </row>
    <row r="6" spans="1:26" x14ac:dyDescent="0.3">
      <c r="A6">
        <v>5</v>
      </c>
      <c r="B6" t="s">
        <v>42</v>
      </c>
      <c r="C6" t="s">
        <v>24</v>
      </c>
      <c r="D6">
        <v>131</v>
      </c>
      <c r="E6" t="s">
        <v>25</v>
      </c>
      <c r="F6" s="1">
        <v>42190</v>
      </c>
      <c r="G6" s="1">
        <v>43184</v>
      </c>
      <c r="H6">
        <v>2015</v>
      </c>
      <c r="I6">
        <v>8.3000000000000007</v>
      </c>
      <c r="J6">
        <v>1234567</v>
      </c>
      <c r="K6" t="s">
        <v>35</v>
      </c>
      <c r="L6">
        <v>6</v>
      </c>
      <c r="N6" t="s">
        <v>36</v>
      </c>
      <c r="Q6" t="s">
        <v>43</v>
      </c>
      <c r="V6">
        <v>2</v>
      </c>
      <c r="W6" t="s">
        <v>44</v>
      </c>
      <c r="X6">
        <f>COUNTA(Q2:Q207)</f>
        <v>79</v>
      </c>
      <c r="Y6" t="s">
        <v>16</v>
      </c>
      <c r="Z6" s="2">
        <f>(X6/X11)</f>
        <v>0.20256410256410257</v>
      </c>
    </row>
    <row r="7" spans="1:26" x14ac:dyDescent="0.3">
      <c r="A7">
        <v>6</v>
      </c>
      <c r="B7" t="s">
        <v>45</v>
      </c>
      <c r="C7" t="s">
        <v>24</v>
      </c>
      <c r="D7">
        <v>1136</v>
      </c>
      <c r="E7" t="s">
        <v>46</v>
      </c>
      <c r="F7" s="1">
        <v>36453</v>
      </c>
      <c r="G7" t="s">
        <v>484</v>
      </c>
      <c r="H7">
        <v>1999</v>
      </c>
      <c r="I7">
        <v>8.6</v>
      </c>
      <c r="J7">
        <v>3456789</v>
      </c>
      <c r="K7" t="s">
        <v>47</v>
      </c>
      <c r="L7">
        <v>5</v>
      </c>
      <c r="M7" t="s">
        <v>48</v>
      </c>
      <c r="N7" t="s">
        <v>49</v>
      </c>
      <c r="Q7" t="s">
        <v>50</v>
      </c>
      <c r="V7">
        <v>3</v>
      </c>
      <c r="W7" t="s">
        <v>51</v>
      </c>
      <c r="X7">
        <f>COUNTA(R9:R207)</f>
        <v>1</v>
      </c>
      <c r="Y7" t="s">
        <v>17</v>
      </c>
      <c r="Z7" s="2">
        <f>(X7/X11)</f>
        <v>2.5641025641025641E-3</v>
      </c>
    </row>
    <row r="8" spans="1:26" x14ac:dyDescent="0.3">
      <c r="A8">
        <v>7</v>
      </c>
      <c r="B8" t="s">
        <v>52</v>
      </c>
      <c r="C8" t="s">
        <v>24</v>
      </c>
      <c r="D8">
        <v>366</v>
      </c>
      <c r="E8" t="s">
        <v>25</v>
      </c>
      <c r="F8" s="1">
        <v>38265</v>
      </c>
      <c r="G8" s="1">
        <v>40995</v>
      </c>
      <c r="H8">
        <v>2004</v>
      </c>
      <c r="I8">
        <v>7.8</v>
      </c>
      <c r="J8">
        <v>987654</v>
      </c>
      <c r="K8" t="s">
        <v>53</v>
      </c>
      <c r="L8">
        <v>5</v>
      </c>
      <c r="M8" t="s">
        <v>54</v>
      </c>
      <c r="N8" t="s">
        <v>55</v>
      </c>
      <c r="P8" t="s">
        <v>56</v>
      </c>
      <c r="V8">
        <v>3</v>
      </c>
      <c r="W8" t="s">
        <v>57</v>
      </c>
      <c r="X8">
        <f>COUNTA(S190:S207)</f>
        <v>1</v>
      </c>
      <c r="Y8" t="s">
        <v>18</v>
      </c>
      <c r="Z8" s="2">
        <f>(X8/X11)</f>
        <v>2.5641025641025641E-3</v>
      </c>
    </row>
    <row r="9" spans="1:26" x14ac:dyDescent="0.3">
      <c r="A9">
        <v>8</v>
      </c>
      <c r="B9" t="s">
        <v>58</v>
      </c>
      <c r="C9" t="s">
        <v>24</v>
      </c>
      <c r="D9">
        <v>52</v>
      </c>
      <c r="E9" t="s">
        <v>46</v>
      </c>
      <c r="F9" s="1">
        <v>44844</v>
      </c>
      <c r="G9" t="s">
        <v>484</v>
      </c>
      <c r="H9">
        <v>2022</v>
      </c>
      <c r="I9">
        <v>9.1</v>
      </c>
      <c r="J9">
        <v>876543</v>
      </c>
      <c r="K9" t="s">
        <v>59</v>
      </c>
      <c r="L9">
        <v>4</v>
      </c>
      <c r="P9" t="s">
        <v>60</v>
      </c>
      <c r="R9" t="s">
        <v>61</v>
      </c>
      <c r="V9">
        <v>2</v>
      </c>
      <c r="W9" t="s">
        <v>62</v>
      </c>
      <c r="X9">
        <f>COUNTA(T183:T207)</f>
        <v>1</v>
      </c>
      <c r="Y9" t="s">
        <v>19</v>
      </c>
      <c r="Z9" s="2">
        <f>(X9/390)</f>
        <v>2.5641025641025641E-3</v>
      </c>
    </row>
    <row r="10" spans="1:26" x14ac:dyDescent="0.3">
      <c r="A10">
        <v>9</v>
      </c>
      <c r="B10" t="s">
        <v>63</v>
      </c>
      <c r="C10" t="s">
        <v>64</v>
      </c>
      <c r="D10">
        <v>25</v>
      </c>
      <c r="E10" t="s">
        <v>25</v>
      </c>
      <c r="F10" s="1">
        <v>41371</v>
      </c>
      <c r="G10" s="1">
        <v>41546</v>
      </c>
      <c r="H10">
        <v>2013</v>
      </c>
      <c r="I10">
        <v>8.5</v>
      </c>
      <c r="J10">
        <v>2345678</v>
      </c>
      <c r="K10" t="s">
        <v>65</v>
      </c>
      <c r="L10">
        <v>6</v>
      </c>
      <c r="N10" t="s">
        <v>66</v>
      </c>
      <c r="P10" t="s">
        <v>67</v>
      </c>
      <c r="Q10" t="s">
        <v>68</v>
      </c>
      <c r="V10">
        <v>3</v>
      </c>
      <c r="W10" t="s">
        <v>69</v>
      </c>
      <c r="X10">
        <f>COUNTA(U2:U207)</f>
        <v>2</v>
      </c>
      <c r="Y10" t="s">
        <v>20</v>
      </c>
      <c r="Z10" s="2">
        <f>(X10/X11)</f>
        <v>5.1282051282051282E-3</v>
      </c>
    </row>
    <row r="11" spans="1:26" x14ac:dyDescent="0.3">
      <c r="A11">
        <v>10</v>
      </c>
      <c r="B11" t="s">
        <v>70</v>
      </c>
      <c r="C11" t="s">
        <v>64</v>
      </c>
      <c r="D11">
        <v>12</v>
      </c>
      <c r="E11" t="s">
        <v>25</v>
      </c>
      <c r="F11" s="1">
        <v>42826</v>
      </c>
      <c r="G11" s="1">
        <v>42903</v>
      </c>
      <c r="H11">
        <v>2017</v>
      </c>
      <c r="I11">
        <v>8.6999999999999993</v>
      </c>
      <c r="J11">
        <v>2345678</v>
      </c>
      <c r="K11" t="s">
        <v>65</v>
      </c>
      <c r="L11">
        <v>6</v>
      </c>
      <c r="N11" t="s">
        <v>66</v>
      </c>
      <c r="P11" t="s">
        <v>67</v>
      </c>
      <c r="Q11" t="s">
        <v>68</v>
      </c>
      <c r="V11">
        <v>3</v>
      </c>
      <c r="W11" t="s">
        <v>71</v>
      </c>
      <c r="X11">
        <f>SUM(X2:X10)</f>
        <v>390</v>
      </c>
    </row>
    <row r="12" spans="1:26" x14ac:dyDescent="0.3">
      <c r="A12">
        <v>11</v>
      </c>
      <c r="B12" t="s">
        <v>72</v>
      </c>
      <c r="C12" t="s">
        <v>64</v>
      </c>
      <c r="D12">
        <v>22</v>
      </c>
      <c r="E12" t="s">
        <v>25</v>
      </c>
      <c r="F12" s="1">
        <v>43304</v>
      </c>
      <c r="G12" s="1">
        <v>43647</v>
      </c>
      <c r="H12">
        <v>2018</v>
      </c>
      <c r="I12">
        <v>9</v>
      </c>
      <c r="J12">
        <v>2345678</v>
      </c>
      <c r="K12" t="s">
        <v>65</v>
      </c>
      <c r="L12">
        <v>6</v>
      </c>
      <c r="N12" t="s">
        <v>66</v>
      </c>
      <c r="P12" t="s">
        <v>67</v>
      </c>
      <c r="Q12" t="s">
        <v>68</v>
      </c>
      <c r="V12">
        <v>3</v>
      </c>
      <c r="W12" t="s">
        <v>73</v>
      </c>
    </row>
    <row r="13" spans="1:26" x14ac:dyDescent="0.3">
      <c r="A13">
        <v>12</v>
      </c>
      <c r="B13" t="s">
        <v>74</v>
      </c>
      <c r="C13" t="s">
        <v>64</v>
      </c>
      <c r="D13">
        <v>28</v>
      </c>
      <c r="E13" t="s">
        <v>25</v>
      </c>
      <c r="F13" s="1">
        <v>44172</v>
      </c>
      <c r="G13" s="1">
        <v>44290</v>
      </c>
      <c r="H13">
        <v>2020</v>
      </c>
      <c r="I13">
        <v>9.1999999999999993</v>
      </c>
      <c r="J13">
        <v>2345678</v>
      </c>
      <c r="K13" t="s">
        <v>65</v>
      </c>
      <c r="L13">
        <v>6</v>
      </c>
      <c r="N13" t="s">
        <v>66</v>
      </c>
      <c r="P13" t="s">
        <v>67</v>
      </c>
      <c r="Q13" t="s">
        <v>68</v>
      </c>
      <c r="V13">
        <v>3</v>
      </c>
      <c r="W13" t="s">
        <v>75</v>
      </c>
    </row>
    <row r="14" spans="1:26" x14ac:dyDescent="0.3">
      <c r="A14">
        <v>13</v>
      </c>
      <c r="B14" t="s">
        <v>76</v>
      </c>
      <c r="C14" t="s">
        <v>64</v>
      </c>
      <c r="D14">
        <v>12</v>
      </c>
      <c r="E14" t="s">
        <v>25</v>
      </c>
      <c r="F14" s="1">
        <v>44571</v>
      </c>
      <c r="G14" s="1">
        <v>44655</v>
      </c>
      <c r="H14">
        <v>2022</v>
      </c>
      <c r="I14">
        <v>9.3000000000000007</v>
      </c>
      <c r="J14">
        <v>2345678</v>
      </c>
      <c r="K14" t="s">
        <v>65</v>
      </c>
      <c r="L14">
        <v>6</v>
      </c>
      <c r="N14" t="s">
        <v>66</v>
      </c>
      <c r="P14" t="s">
        <v>67</v>
      </c>
      <c r="Q14" t="s">
        <v>68</v>
      </c>
      <c r="V14">
        <v>3</v>
      </c>
      <c r="W14" t="s">
        <v>77</v>
      </c>
    </row>
    <row r="15" spans="1:26" x14ac:dyDescent="0.3">
      <c r="A15">
        <v>14</v>
      </c>
      <c r="B15" t="s">
        <v>78</v>
      </c>
      <c r="C15" t="s">
        <v>64</v>
      </c>
      <c r="D15">
        <v>24</v>
      </c>
      <c r="E15" t="s">
        <v>25</v>
      </c>
      <c r="F15" s="1">
        <v>43653</v>
      </c>
      <c r="G15" s="1">
        <v>43828</v>
      </c>
      <c r="H15">
        <v>2019</v>
      </c>
      <c r="I15">
        <v>8.6999999999999993</v>
      </c>
      <c r="J15">
        <v>345678</v>
      </c>
      <c r="K15" t="s">
        <v>79</v>
      </c>
      <c r="L15">
        <v>4</v>
      </c>
      <c r="M15" t="s">
        <v>80</v>
      </c>
      <c r="O15" t="s">
        <v>81</v>
      </c>
      <c r="V15">
        <v>2</v>
      </c>
      <c r="W15" t="s">
        <v>82</v>
      </c>
    </row>
    <row r="16" spans="1:26" x14ac:dyDescent="0.3">
      <c r="A16">
        <v>15</v>
      </c>
      <c r="B16" t="s">
        <v>83</v>
      </c>
      <c r="C16" t="s">
        <v>64</v>
      </c>
      <c r="D16">
        <v>24</v>
      </c>
      <c r="E16" t="s">
        <v>25</v>
      </c>
      <c r="F16" s="1">
        <v>44936</v>
      </c>
      <c r="G16" s="1">
        <v>45097</v>
      </c>
      <c r="H16">
        <v>2023</v>
      </c>
      <c r="I16">
        <v>9.1</v>
      </c>
      <c r="J16">
        <v>456789</v>
      </c>
      <c r="K16" t="s">
        <v>79</v>
      </c>
      <c r="L16">
        <v>4</v>
      </c>
      <c r="M16" t="s">
        <v>80</v>
      </c>
      <c r="O16" t="s">
        <v>84</v>
      </c>
      <c r="V16">
        <v>2</v>
      </c>
      <c r="W16" t="s">
        <v>82</v>
      </c>
    </row>
    <row r="17" spans="1:23" x14ac:dyDescent="0.3">
      <c r="A17">
        <v>16</v>
      </c>
      <c r="B17" t="s">
        <v>85</v>
      </c>
      <c r="C17" t="s">
        <v>24</v>
      </c>
      <c r="D17">
        <v>26</v>
      </c>
      <c r="E17" t="s">
        <v>25</v>
      </c>
      <c r="F17" s="1">
        <v>43561</v>
      </c>
      <c r="G17" s="1">
        <v>43736</v>
      </c>
      <c r="H17">
        <v>2019</v>
      </c>
      <c r="I17">
        <v>8.5</v>
      </c>
      <c r="J17">
        <v>2345678</v>
      </c>
      <c r="K17" t="s">
        <v>86</v>
      </c>
      <c r="L17">
        <v>5</v>
      </c>
      <c r="M17" t="s">
        <v>87</v>
      </c>
      <c r="N17" t="s">
        <v>88</v>
      </c>
      <c r="P17" t="s">
        <v>89</v>
      </c>
      <c r="Q17" t="s">
        <v>90</v>
      </c>
      <c r="V17">
        <v>4</v>
      </c>
      <c r="W17" t="s">
        <v>91</v>
      </c>
    </row>
    <row r="18" spans="1:23" x14ac:dyDescent="0.3">
      <c r="A18">
        <v>17</v>
      </c>
      <c r="B18" t="s">
        <v>92</v>
      </c>
      <c r="C18" t="s">
        <v>24</v>
      </c>
      <c r="D18">
        <v>11</v>
      </c>
      <c r="E18" t="s">
        <v>25</v>
      </c>
      <c r="F18" s="1">
        <v>44535</v>
      </c>
      <c r="G18" s="1">
        <v>44605</v>
      </c>
      <c r="H18">
        <v>2021</v>
      </c>
      <c r="I18">
        <v>9</v>
      </c>
      <c r="J18">
        <v>2345678</v>
      </c>
      <c r="K18" t="s">
        <v>86</v>
      </c>
      <c r="L18">
        <v>5</v>
      </c>
      <c r="N18" t="s">
        <v>88</v>
      </c>
      <c r="P18" t="s">
        <v>89</v>
      </c>
      <c r="Q18" t="s">
        <v>90</v>
      </c>
      <c r="V18">
        <v>3</v>
      </c>
      <c r="W18" t="s">
        <v>93</v>
      </c>
    </row>
    <row r="19" spans="1:23" x14ac:dyDescent="0.3">
      <c r="A19">
        <v>18</v>
      </c>
      <c r="B19" t="s">
        <v>94</v>
      </c>
      <c r="C19" t="s">
        <v>24</v>
      </c>
      <c r="D19">
        <v>11</v>
      </c>
      <c r="E19" t="s">
        <v>25</v>
      </c>
      <c r="F19" s="1">
        <v>45025</v>
      </c>
      <c r="G19" s="1">
        <v>45095</v>
      </c>
      <c r="H19">
        <v>2023</v>
      </c>
      <c r="I19">
        <v>8.8000000000000007</v>
      </c>
      <c r="J19">
        <v>2345678</v>
      </c>
      <c r="K19" t="s">
        <v>86</v>
      </c>
      <c r="L19">
        <v>5</v>
      </c>
      <c r="N19" t="s">
        <v>88</v>
      </c>
      <c r="P19" t="s">
        <v>89</v>
      </c>
      <c r="Q19" t="s">
        <v>90</v>
      </c>
      <c r="V19">
        <v>3</v>
      </c>
      <c r="W19" t="s">
        <v>95</v>
      </c>
    </row>
    <row r="20" spans="1:23" x14ac:dyDescent="0.3">
      <c r="A20">
        <v>19</v>
      </c>
      <c r="B20" t="s">
        <v>96</v>
      </c>
      <c r="C20" t="s">
        <v>24</v>
      </c>
      <c r="D20">
        <v>24</v>
      </c>
      <c r="E20" t="s">
        <v>25</v>
      </c>
      <c r="F20" s="1">
        <v>44107</v>
      </c>
      <c r="G20" s="1">
        <v>44282</v>
      </c>
      <c r="H20">
        <v>2020</v>
      </c>
      <c r="I20">
        <v>8.6</v>
      </c>
      <c r="J20">
        <v>2345678</v>
      </c>
      <c r="K20" t="s">
        <v>97</v>
      </c>
      <c r="L20">
        <v>5</v>
      </c>
      <c r="M20" t="s">
        <v>98</v>
      </c>
      <c r="N20" t="s">
        <v>99</v>
      </c>
      <c r="P20" t="s">
        <v>100</v>
      </c>
      <c r="V20">
        <v>3</v>
      </c>
      <c r="W20" t="s">
        <v>101</v>
      </c>
    </row>
    <row r="21" spans="1:23" x14ac:dyDescent="0.3">
      <c r="A21">
        <v>20</v>
      </c>
      <c r="B21" t="s">
        <v>102</v>
      </c>
      <c r="C21" t="s">
        <v>24</v>
      </c>
      <c r="D21">
        <v>23</v>
      </c>
      <c r="E21" t="s">
        <v>25</v>
      </c>
      <c r="F21" s="1">
        <v>45113</v>
      </c>
      <c r="G21" s="1">
        <v>45288</v>
      </c>
      <c r="H21">
        <v>2023</v>
      </c>
      <c r="I21">
        <v>9</v>
      </c>
      <c r="J21">
        <v>2345678</v>
      </c>
      <c r="K21" t="s">
        <v>97</v>
      </c>
      <c r="L21">
        <v>5</v>
      </c>
      <c r="N21" t="s">
        <v>99</v>
      </c>
      <c r="P21" t="s">
        <v>100</v>
      </c>
      <c r="V21">
        <v>2</v>
      </c>
      <c r="W21" t="s">
        <v>103</v>
      </c>
    </row>
    <row r="22" spans="1:23" x14ac:dyDescent="0.3">
      <c r="A22">
        <v>21</v>
      </c>
      <c r="B22" t="s">
        <v>104</v>
      </c>
      <c r="C22" t="s">
        <v>24</v>
      </c>
      <c r="D22">
        <v>148</v>
      </c>
      <c r="E22" t="s">
        <v>25</v>
      </c>
      <c r="F22" s="1">
        <v>40818</v>
      </c>
      <c r="G22" s="1">
        <v>41906</v>
      </c>
      <c r="H22">
        <v>2011</v>
      </c>
      <c r="I22">
        <v>9.1</v>
      </c>
      <c r="J22">
        <v>1234567</v>
      </c>
      <c r="K22" t="s">
        <v>105</v>
      </c>
      <c r="L22">
        <v>3</v>
      </c>
      <c r="M22" t="s">
        <v>54</v>
      </c>
      <c r="N22" t="s">
        <v>106</v>
      </c>
      <c r="P22" t="s">
        <v>107</v>
      </c>
      <c r="V22">
        <v>3</v>
      </c>
      <c r="W22" t="s">
        <v>108</v>
      </c>
    </row>
    <row r="23" spans="1:23" x14ac:dyDescent="0.3">
      <c r="A23">
        <v>22</v>
      </c>
      <c r="B23" t="s">
        <v>109</v>
      </c>
      <c r="C23" t="s">
        <v>24</v>
      </c>
      <c r="D23">
        <v>13</v>
      </c>
      <c r="E23" t="s">
        <v>25</v>
      </c>
      <c r="F23" s="1">
        <v>42463</v>
      </c>
      <c r="G23" s="1">
        <v>42547</v>
      </c>
      <c r="H23">
        <v>2016</v>
      </c>
      <c r="I23">
        <v>7.9</v>
      </c>
      <c r="J23">
        <v>1234567</v>
      </c>
      <c r="K23" t="s">
        <v>110</v>
      </c>
      <c r="L23">
        <v>4</v>
      </c>
      <c r="N23" t="s">
        <v>111</v>
      </c>
      <c r="P23" t="s">
        <v>112</v>
      </c>
      <c r="Q23" t="s">
        <v>113</v>
      </c>
      <c r="V23">
        <v>3</v>
      </c>
      <c r="W23" t="s">
        <v>114</v>
      </c>
    </row>
    <row r="24" spans="1:23" x14ac:dyDescent="0.3">
      <c r="A24">
        <v>23</v>
      </c>
      <c r="B24" t="s">
        <v>115</v>
      </c>
      <c r="C24" t="s">
        <v>24</v>
      </c>
      <c r="D24">
        <v>25</v>
      </c>
      <c r="E24" t="s">
        <v>25</v>
      </c>
      <c r="F24" s="1">
        <v>42826</v>
      </c>
      <c r="G24" s="1">
        <v>43008</v>
      </c>
      <c r="H24">
        <v>2017</v>
      </c>
      <c r="I24">
        <v>8.1999999999999993</v>
      </c>
      <c r="J24">
        <v>1234567</v>
      </c>
      <c r="K24" t="s">
        <v>110</v>
      </c>
      <c r="L24">
        <v>4</v>
      </c>
      <c r="N24" t="s">
        <v>111</v>
      </c>
      <c r="P24" t="s">
        <v>112</v>
      </c>
      <c r="Q24" t="s">
        <v>113</v>
      </c>
      <c r="V24">
        <v>3</v>
      </c>
      <c r="W24" t="s">
        <v>114</v>
      </c>
    </row>
    <row r="25" spans="1:23" x14ac:dyDescent="0.3">
      <c r="A25">
        <v>24</v>
      </c>
      <c r="B25" t="s">
        <v>116</v>
      </c>
      <c r="C25" t="s">
        <v>24</v>
      </c>
      <c r="D25">
        <v>25</v>
      </c>
      <c r="E25" t="s">
        <v>25</v>
      </c>
      <c r="F25" s="1">
        <v>43197</v>
      </c>
      <c r="G25" s="1">
        <v>43372</v>
      </c>
      <c r="H25">
        <v>2018</v>
      </c>
      <c r="I25">
        <v>8.3000000000000007</v>
      </c>
      <c r="J25">
        <v>1234567</v>
      </c>
      <c r="K25" t="s">
        <v>110</v>
      </c>
      <c r="L25">
        <v>4</v>
      </c>
      <c r="N25" t="s">
        <v>111</v>
      </c>
      <c r="P25" t="s">
        <v>112</v>
      </c>
      <c r="Q25" t="s">
        <v>113</v>
      </c>
      <c r="V25">
        <v>3</v>
      </c>
      <c r="W25" t="s">
        <v>117</v>
      </c>
    </row>
    <row r="26" spans="1:23" x14ac:dyDescent="0.3">
      <c r="A26">
        <v>25</v>
      </c>
      <c r="B26" t="s">
        <v>118</v>
      </c>
      <c r="C26" t="s">
        <v>24</v>
      </c>
      <c r="D26">
        <v>25</v>
      </c>
      <c r="E26" t="s">
        <v>25</v>
      </c>
      <c r="F26" s="1">
        <v>43750</v>
      </c>
      <c r="G26" s="1">
        <v>43925</v>
      </c>
      <c r="H26">
        <v>2019</v>
      </c>
      <c r="I26">
        <v>8.3000000000000007</v>
      </c>
      <c r="J26">
        <v>1234567</v>
      </c>
      <c r="K26" t="s">
        <v>110</v>
      </c>
      <c r="L26">
        <v>4</v>
      </c>
      <c r="N26" t="s">
        <v>111</v>
      </c>
      <c r="P26" t="s">
        <v>112</v>
      </c>
      <c r="Q26" t="s">
        <v>113</v>
      </c>
      <c r="V26">
        <v>3</v>
      </c>
      <c r="W26" t="s">
        <v>119</v>
      </c>
    </row>
    <row r="27" spans="1:23" x14ac:dyDescent="0.3">
      <c r="A27">
        <v>26</v>
      </c>
      <c r="B27" t="s">
        <v>120</v>
      </c>
      <c r="C27" t="s">
        <v>24</v>
      </c>
      <c r="D27">
        <v>25</v>
      </c>
      <c r="E27" t="s">
        <v>25</v>
      </c>
      <c r="F27" s="1">
        <v>44282</v>
      </c>
      <c r="G27" s="1">
        <v>44464</v>
      </c>
      <c r="H27">
        <v>2021</v>
      </c>
      <c r="I27">
        <v>7.9</v>
      </c>
      <c r="J27">
        <v>1234567</v>
      </c>
      <c r="K27" t="s">
        <v>110</v>
      </c>
      <c r="L27">
        <v>4</v>
      </c>
      <c r="N27" t="s">
        <v>111</v>
      </c>
      <c r="P27" t="s">
        <v>112</v>
      </c>
      <c r="Q27" t="s">
        <v>113</v>
      </c>
      <c r="V27">
        <v>3</v>
      </c>
      <c r="W27" t="s">
        <v>121</v>
      </c>
    </row>
    <row r="28" spans="1:23" x14ac:dyDescent="0.3">
      <c r="A28">
        <v>27</v>
      </c>
      <c r="B28" t="s">
        <v>122</v>
      </c>
      <c r="C28" t="s">
        <v>24</v>
      </c>
      <c r="D28">
        <v>25</v>
      </c>
      <c r="E28" t="s">
        <v>25</v>
      </c>
      <c r="F28" s="1">
        <v>44835</v>
      </c>
      <c r="G28" s="1">
        <v>45010</v>
      </c>
      <c r="H28">
        <v>2022</v>
      </c>
      <c r="I28">
        <v>8.5</v>
      </c>
      <c r="J28">
        <v>1234567</v>
      </c>
      <c r="K28" t="s">
        <v>110</v>
      </c>
      <c r="L28">
        <v>4</v>
      </c>
      <c r="N28" t="s">
        <v>111</v>
      </c>
      <c r="P28" t="s">
        <v>112</v>
      </c>
      <c r="Q28" t="s">
        <v>113</v>
      </c>
      <c r="V28">
        <v>3</v>
      </c>
      <c r="W28" t="s">
        <v>123</v>
      </c>
    </row>
    <row r="29" spans="1:23" x14ac:dyDescent="0.3">
      <c r="A29">
        <v>28</v>
      </c>
      <c r="B29" t="s">
        <v>124</v>
      </c>
      <c r="C29" t="s">
        <v>24</v>
      </c>
      <c r="D29">
        <v>37</v>
      </c>
      <c r="E29" t="s">
        <v>25</v>
      </c>
      <c r="F29" s="1">
        <v>38994</v>
      </c>
      <c r="G29" s="1">
        <v>39260</v>
      </c>
      <c r="H29">
        <v>2006</v>
      </c>
      <c r="I29">
        <v>8.6</v>
      </c>
      <c r="J29">
        <v>2345678</v>
      </c>
      <c r="K29" t="s">
        <v>125</v>
      </c>
      <c r="L29">
        <v>4</v>
      </c>
      <c r="M29" t="s">
        <v>54</v>
      </c>
      <c r="N29" t="s">
        <v>126</v>
      </c>
      <c r="P29" t="s">
        <v>127</v>
      </c>
      <c r="V29">
        <v>3</v>
      </c>
      <c r="W29" t="s">
        <v>128</v>
      </c>
    </row>
    <row r="30" spans="1:23" x14ac:dyDescent="0.3">
      <c r="A30">
        <v>29</v>
      </c>
      <c r="B30" t="s">
        <v>129</v>
      </c>
      <c r="C30" t="s">
        <v>24</v>
      </c>
      <c r="D30">
        <v>64</v>
      </c>
      <c r="E30" t="s">
        <v>25</v>
      </c>
      <c r="F30" s="1">
        <v>39908</v>
      </c>
      <c r="G30" s="1">
        <v>40363</v>
      </c>
      <c r="H30">
        <v>2009</v>
      </c>
      <c r="I30">
        <v>9.1</v>
      </c>
      <c r="J30">
        <v>2345678</v>
      </c>
      <c r="K30" t="s">
        <v>130</v>
      </c>
      <c r="L30">
        <v>6</v>
      </c>
      <c r="M30" t="s">
        <v>131</v>
      </c>
      <c r="N30" t="s">
        <v>132</v>
      </c>
      <c r="P30" t="s">
        <v>133</v>
      </c>
      <c r="Q30" t="s">
        <v>134</v>
      </c>
      <c r="V30">
        <v>4</v>
      </c>
      <c r="W30" t="s">
        <v>135</v>
      </c>
    </row>
    <row r="31" spans="1:23" x14ac:dyDescent="0.3">
      <c r="A31">
        <v>30</v>
      </c>
      <c r="B31" t="s">
        <v>136</v>
      </c>
      <c r="C31" t="s">
        <v>24</v>
      </c>
      <c r="D31">
        <v>24</v>
      </c>
      <c r="E31" t="s">
        <v>25</v>
      </c>
      <c r="F31" s="1">
        <v>44297</v>
      </c>
      <c r="G31" s="1">
        <v>44458</v>
      </c>
      <c r="H31">
        <v>2021</v>
      </c>
      <c r="I31">
        <v>7.9</v>
      </c>
      <c r="J31">
        <v>876543</v>
      </c>
      <c r="K31" t="s">
        <v>137</v>
      </c>
      <c r="L31">
        <v>3</v>
      </c>
      <c r="N31" t="s">
        <v>138</v>
      </c>
      <c r="P31" t="s">
        <v>139</v>
      </c>
      <c r="V31">
        <v>2</v>
      </c>
      <c r="W31" t="s">
        <v>140</v>
      </c>
    </row>
    <row r="32" spans="1:23" x14ac:dyDescent="0.3">
      <c r="A32">
        <v>31</v>
      </c>
      <c r="B32" t="s">
        <v>141</v>
      </c>
      <c r="C32" t="s">
        <v>24</v>
      </c>
      <c r="D32">
        <v>13</v>
      </c>
      <c r="E32" t="s">
        <v>25</v>
      </c>
      <c r="F32" s="1">
        <v>44934</v>
      </c>
      <c r="G32" s="1">
        <v>45018</v>
      </c>
      <c r="H32">
        <v>2023</v>
      </c>
      <c r="I32">
        <v>8.1999999999999993</v>
      </c>
      <c r="J32">
        <v>876543</v>
      </c>
      <c r="K32" t="s">
        <v>137</v>
      </c>
      <c r="L32">
        <v>3</v>
      </c>
      <c r="N32" t="s">
        <v>138</v>
      </c>
      <c r="P32" t="s">
        <v>139</v>
      </c>
      <c r="V32">
        <v>2</v>
      </c>
      <c r="W32" t="s">
        <v>142</v>
      </c>
    </row>
    <row r="33" spans="1:23" x14ac:dyDescent="0.3">
      <c r="A33">
        <v>32</v>
      </c>
      <c r="B33" t="s">
        <v>143</v>
      </c>
      <c r="C33" t="s">
        <v>24</v>
      </c>
      <c r="D33">
        <v>12</v>
      </c>
      <c r="E33" t="s">
        <v>25</v>
      </c>
      <c r="F33" s="1">
        <v>44846</v>
      </c>
      <c r="G33" s="1">
        <v>44923</v>
      </c>
      <c r="H33">
        <v>2022</v>
      </c>
      <c r="I33">
        <v>8.5</v>
      </c>
      <c r="J33">
        <v>2345678</v>
      </c>
      <c r="K33" t="s">
        <v>144</v>
      </c>
      <c r="L33">
        <v>3</v>
      </c>
      <c r="N33" t="s">
        <v>145</v>
      </c>
      <c r="P33" t="s">
        <v>146</v>
      </c>
      <c r="V33">
        <v>2</v>
      </c>
      <c r="W33" t="s">
        <v>147</v>
      </c>
    </row>
    <row r="34" spans="1:23" x14ac:dyDescent="0.3">
      <c r="A34">
        <v>33</v>
      </c>
      <c r="B34" t="s">
        <v>148</v>
      </c>
      <c r="C34" t="s">
        <v>24</v>
      </c>
      <c r="D34">
        <v>170</v>
      </c>
      <c r="E34" t="s">
        <v>25</v>
      </c>
      <c r="F34" s="1">
        <v>43011</v>
      </c>
      <c r="G34" s="1">
        <v>44285</v>
      </c>
      <c r="H34">
        <v>2017</v>
      </c>
      <c r="I34">
        <v>7.8</v>
      </c>
      <c r="J34">
        <v>987654</v>
      </c>
      <c r="K34" t="s">
        <v>149</v>
      </c>
      <c r="L34">
        <v>4</v>
      </c>
      <c r="N34" t="s">
        <v>150</v>
      </c>
      <c r="P34" t="s">
        <v>151</v>
      </c>
      <c r="Q34" t="s">
        <v>152</v>
      </c>
      <c r="V34">
        <v>3</v>
      </c>
      <c r="W34" t="s">
        <v>153</v>
      </c>
    </row>
    <row r="35" spans="1:23" x14ac:dyDescent="0.3">
      <c r="A35">
        <v>34</v>
      </c>
      <c r="B35" t="s">
        <v>154</v>
      </c>
      <c r="C35" t="s">
        <v>24</v>
      </c>
      <c r="D35">
        <v>328</v>
      </c>
      <c r="E35" t="s">
        <v>25</v>
      </c>
      <c r="F35" s="1">
        <v>40098</v>
      </c>
      <c r="G35" s="1">
        <v>43553</v>
      </c>
      <c r="H35">
        <v>2009</v>
      </c>
      <c r="I35">
        <v>7.5</v>
      </c>
      <c r="J35">
        <v>876543</v>
      </c>
      <c r="K35" t="s">
        <v>155</v>
      </c>
      <c r="L35">
        <v>5</v>
      </c>
      <c r="N35" t="s">
        <v>156</v>
      </c>
      <c r="P35" t="s">
        <v>157</v>
      </c>
      <c r="Q35" t="s">
        <v>158</v>
      </c>
      <c r="V35">
        <v>3</v>
      </c>
      <c r="W35" t="s">
        <v>159</v>
      </c>
    </row>
    <row r="36" spans="1:23" x14ac:dyDescent="0.3">
      <c r="A36">
        <v>35</v>
      </c>
      <c r="B36" t="s">
        <v>160</v>
      </c>
      <c r="C36" t="s">
        <v>24</v>
      </c>
      <c r="D36">
        <v>25</v>
      </c>
      <c r="E36" t="s">
        <v>25</v>
      </c>
      <c r="F36" s="1">
        <v>41098</v>
      </c>
      <c r="G36" s="1">
        <v>41266</v>
      </c>
      <c r="H36">
        <v>2012</v>
      </c>
      <c r="I36">
        <v>7.2</v>
      </c>
      <c r="J36">
        <v>1234567</v>
      </c>
      <c r="K36" t="s">
        <v>161</v>
      </c>
      <c r="L36">
        <v>5</v>
      </c>
      <c r="M36" t="s">
        <v>162</v>
      </c>
      <c r="N36" t="s">
        <v>163</v>
      </c>
      <c r="P36" t="s">
        <v>164</v>
      </c>
      <c r="V36">
        <v>3</v>
      </c>
      <c r="W36" t="s">
        <v>165</v>
      </c>
    </row>
    <row r="37" spans="1:23" x14ac:dyDescent="0.3">
      <c r="A37">
        <v>36</v>
      </c>
      <c r="B37" t="s">
        <v>166</v>
      </c>
      <c r="C37" t="s">
        <v>24</v>
      </c>
      <c r="D37">
        <v>24</v>
      </c>
      <c r="E37" t="s">
        <v>25</v>
      </c>
      <c r="F37" s="1">
        <v>41825</v>
      </c>
      <c r="G37" s="1">
        <v>41993</v>
      </c>
      <c r="H37">
        <v>2014</v>
      </c>
      <c r="I37">
        <v>7.4</v>
      </c>
      <c r="J37">
        <v>1234567</v>
      </c>
      <c r="K37" t="s">
        <v>161</v>
      </c>
      <c r="L37">
        <v>5</v>
      </c>
      <c r="M37" t="s">
        <v>162</v>
      </c>
      <c r="N37" t="s">
        <v>163</v>
      </c>
      <c r="P37" t="s">
        <v>164</v>
      </c>
      <c r="V37">
        <v>3</v>
      </c>
      <c r="W37" t="s">
        <v>167</v>
      </c>
    </row>
    <row r="38" spans="1:23" x14ac:dyDescent="0.3">
      <c r="A38">
        <v>37</v>
      </c>
      <c r="B38" t="s">
        <v>168</v>
      </c>
      <c r="C38" t="s">
        <v>24</v>
      </c>
      <c r="D38">
        <v>47</v>
      </c>
      <c r="E38" t="s">
        <v>25</v>
      </c>
      <c r="F38" s="1">
        <v>43380</v>
      </c>
      <c r="G38" s="1">
        <v>44094</v>
      </c>
      <c r="H38">
        <v>2018</v>
      </c>
      <c r="I38">
        <v>7.6</v>
      </c>
      <c r="J38">
        <v>1234567</v>
      </c>
      <c r="K38" t="s">
        <v>161</v>
      </c>
      <c r="L38">
        <v>5</v>
      </c>
      <c r="N38" t="s">
        <v>163</v>
      </c>
      <c r="P38" t="s">
        <v>164</v>
      </c>
      <c r="V38">
        <v>2</v>
      </c>
      <c r="W38" t="s">
        <v>169</v>
      </c>
    </row>
    <row r="39" spans="1:23" x14ac:dyDescent="0.3">
      <c r="A39">
        <v>38</v>
      </c>
      <c r="B39" t="s">
        <v>170</v>
      </c>
      <c r="C39" t="s">
        <v>64</v>
      </c>
      <c r="D39">
        <v>24</v>
      </c>
      <c r="E39" t="s">
        <v>25</v>
      </c>
      <c r="F39" s="1">
        <v>40639</v>
      </c>
      <c r="G39" s="1">
        <v>40800</v>
      </c>
      <c r="H39">
        <v>2011</v>
      </c>
      <c r="I39">
        <v>9.1</v>
      </c>
      <c r="J39">
        <v>987654</v>
      </c>
      <c r="K39" t="s">
        <v>171</v>
      </c>
      <c r="L39">
        <v>3</v>
      </c>
      <c r="N39" t="s">
        <v>172</v>
      </c>
      <c r="P39" t="s">
        <v>173</v>
      </c>
      <c r="Q39" t="s">
        <v>174</v>
      </c>
      <c r="V39">
        <v>3</v>
      </c>
      <c r="W39" t="s">
        <v>175</v>
      </c>
    </row>
    <row r="40" spans="1:23" x14ac:dyDescent="0.3">
      <c r="A40">
        <v>39</v>
      </c>
      <c r="B40" t="s">
        <v>176</v>
      </c>
      <c r="C40" t="s">
        <v>64</v>
      </c>
      <c r="D40">
        <v>23</v>
      </c>
      <c r="E40" t="s">
        <v>25</v>
      </c>
      <c r="F40" s="1">
        <v>43202</v>
      </c>
      <c r="G40" s="1">
        <v>43370</v>
      </c>
      <c r="H40">
        <v>2018</v>
      </c>
      <c r="I40">
        <v>8.6</v>
      </c>
      <c r="J40">
        <v>876543</v>
      </c>
      <c r="K40" t="s">
        <v>171</v>
      </c>
      <c r="L40">
        <v>3</v>
      </c>
      <c r="N40" t="s">
        <v>172</v>
      </c>
      <c r="P40" t="s">
        <v>173</v>
      </c>
      <c r="Q40" t="s">
        <v>174</v>
      </c>
      <c r="V40">
        <v>3</v>
      </c>
      <c r="W40" t="s">
        <v>177</v>
      </c>
    </row>
    <row r="41" spans="1:23" x14ac:dyDescent="0.3">
      <c r="A41">
        <v>40</v>
      </c>
      <c r="B41" t="s">
        <v>178</v>
      </c>
      <c r="C41" t="s">
        <v>179</v>
      </c>
      <c r="D41">
        <v>25</v>
      </c>
      <c r="E41" t="s">
        <v>25</v>
      </c>
      <c r="F41" s="1">
        <v>42464</v>
      </c>
      <c r="G41" s="1">
        <v>42632</v>
      </c>
      <c r="H41">
        <v>2016</v>
      </c>
      <c r="I41">
        <v>8.1999999999999993</v>
      </c>
      <c r="J41">
        <v>1234567</v>
      </c>
      <c r="K41" t="s">
        <v>180</v>
      </c>
      <c r="L41">
        <v>4</v>
      </c>
      <c r="N41" t="s">
        <v>181</v>
      </c>
      <c r="P41" t="s">
        <v>182</v>
      </c>
      <c r="V41">
        <v>2</v>
      </c>
      <c r="W41" t="s">
        <v>183</v>
      </c>
    </row>
    <row r="42" spans="1:23" x14ac:dyDescent="0.3">
      <c r="A42">
        <v>41</v>
      </c>
      <c r="B42" t="s">
        <v>184</v>
      </c>
      <c r="C42" t="s">
        <v>179</v>
      </c>
      <c r="D42">
        <v>25</v>
      </c>
      <c r="E42" t="s">
        <v>25</v>
      </c>
      <c r="F42" s="1">
        <v>44020</v>
      </c>
      <c r="G42" s="1">
        <v>44279</v>
      </c>
      <c r="H42">
        <v>2020</v>
      </c>
      <c r="I42">
        <v>8.6</v>
      </c>
      <c r="J42">
        <v>1234567</v>
      </c>
      <c r="K42" t="s">
        <v>180</v>
      </c>
      <c r="L42">
        <v>4</v>
      </c>
      <c r="N42" t="s">
        <v>181</v>
      </c>
      <c r="P42" t="s">
        <v>182</v>
      </c>
      <c r="V42">
        <v>2</v>
      </c>
      <c r="W42" t="s">
        <v>185</v>
      </c>
    </row>
    <row r="43" spans="1:23" x14ac:dyDescent="0.3">
      <c r="A43">
        <v>42</v>
      </c>
      <c r="B43" t="s">
        <v>186</v>
      </c>
      <c r="C43" t="s">
        <v>179</v>
      </c>
      <c r="D43">
        <v>25</v>
      </c>
      <c r="E43" t="s">
        <v>25</v>
      </c>
      <c r="F43" s="1">
        <v>43474</v>
      </c>
      <c r="G43" s="1">
        <v>43642</v>
      </c>
      <c r="H43">
        <v>2019</v>
      </c>
      <c r="I43">
        <v>7.9</v>
      </c>
      <c r="J43">
        <v>987654</v>
      </c>
      <c r="K43" t="s">
        <v>187</v>
      </c>
      <c r="L43">
        <v>4</v>
      </c>
      <c r="N43" t="s">
        <v>188</v>
      </c>
      <c r="Q43" t="s">
        <v>189</v>
      </c>
      <c r="V43">
        <v>2</v>
      </c>
      <c r="W43" t="s">
        <v>190</v>
      </c>
    </row>
    <row r="44" spans="1:23" x14ac:dyDescent="0.3">
      <c r="A44">
        <v>43</v>
      </c>
      <c r="B44" t="s">
        <v>191</v>
      </c>
      <c r="C44" t="s">
        <v>179</v>
      </c>
      <c r="D44">
        <v>13</v>
      </c>
      <c r="E44" t="s">
        <v>25</v>
      </c>
      <c r="F44" s="1">
        <v>44657</v>
      </c>
      <c r="G44" s="1">
        <v>44741</v>
      </c>
      <c r="H44">
        <v>2022</v>
      </c>
      <c r="I44">
        <v>7.1</v>
      </c>
      <c r="J44">
        <v>876543</v>
      </c>
      <c r="K44" t="s">
        <v>187</v>
      </c>
      <c r="L44">
        <v>4</v>
      </c>
      <c r="N44" t="s">
        <v>188</v>
      </c>
      <c r="Q44" t="s">
        <v>189</v>
      </c>
      <c r="V44">
        <v>2</v>
      </c>
      <c r="W44" t="s">
        <v>192</v>
      </c>
    </row>
    <row r="45" spans="1:23" x14ac:dyDescent="0.3">
      <c r="A45">
        <v>44</v>
      </c>
      <c r="B45" t="s">
        <v>193</v>
      </c>
      <c r="C45" t="s">
        <v>179</v>
      </c>
      <c r="D45">
        <v>12</v>
      </c>
      <c r="E45" t="s">
        <v>25</v>
      </c>
      <c r="F45" s="1">
        <v>45205</v>
      </c>
      <c r="G45" s="1">
        <v>45282</v>
      </c>
      <c r="H45">
        <v>2023</v>
      </c>
      <c r="I45">
        <v>7.5</v>
      </c>
      <c r="J45">
        <v>765432</v>
      </c>
      <c r="K45" t="s">
        <v>187</v>
      </c>
      <c r="L45">
        <v>4</v>
      </c>
      <c r="N45" t="s">
        <v>188</v>
      </c>
      <c r="Q45" t="s">
        <v>189</v>
      </c>
      <c r="V45">
        <v>2</v>
      </c>
      <c r="W45" t="s">
        <v>190</v>
      </c>
    </row>
    <row r="46" spans="1:23" x14ac:dyDescent="0.3">
      <c r="A46">
        <v>45</v>
      </c>
      <c r="B46" t="s">
        <v>194</v>
      </c>
      <c r="C46" t="s">
        <v>179</v>
      </c>
      <c r="D46">
        <v>23</v>
      </c>
      <c r="E46" t="s">
        <v>25</v>
      </c>
      <c r="F46" s="1">
        <v>44207</v>
      </c>
      <c r="G46" s="1">
        <v>44550</v>
      </c>
      <c r="H46">
        <v>2021</v>
      </c>
      <c r="I46">
        <v>8.4</v>
      </c>
      <c r="J46">
        <v>987654</v>
      </c>
      <c r="K46" t="s">
        <v>195</v>
      </c>
      <c r="L46">
        <v>4</v>
      </c>
      <c r="P46" t="s">
        <v>196</v>
      </c>
      <c r="Q46" t="s">
        <v>197</v>
      </c>
      <c r="V46">
        <v>2</v>
      </c>
      <c r="W46" t="s">
        <v>198</v>
      </c>
    </row>
    <row r="47" spans="1:23" x14ac:dyDescent="0.3">
      <c r="A47">
        <v>46</v>
      </c>
      <c r="B47" t="s">
        <v>199</v>
      </c>
      <c r="C47" t="s">
        <v>179</v>
      </c>
      <c r="D47">
        <v>25</v>
      </c>
      <c r="E47" t="s">
        <v>25</v>
      </c>
      <c r="F47" s="1">
        <v>45110</v>
      </c>
      <c r="G47" s="1">
        <v>45278</v>
      </c>
      <c r="H47">
        <v>2023</v>
      </c>
      <c r="I47">
        <v>8.6999999999999993</v>
      </c>
      <c r="J47">
        <v>987654</v>
      </c>
      <c r="K47" t="s">
        <v>195</v>
      </c>
      <c r="L47">
        <v>4</v>
      </c>
      <c r="N47" t="s">
        <v>200</v>
      </c>
      <c r="P47" t="s">
        <v>196</v>
      </c>
      <c r="V47">
        <v>2</v>
      </c>
      <c r="W47" t="s">
        <v>198</v>
      </c>
    </row>
    <row r="48" spans="1:23" x14ac:dyDescent="0.3">
      <c r="A48">
        <v>47</v>
      </c>
      <c r="B48" t="s">
        <v>201</v>
      </c>
      <c r="C48" t="s">
        <v>179</v>
      </c>
      <c r="D48">
        <v>24</v>
      </c>
      <c r="E48" t="s">
        <v>25</v>
      </c>
      <c r="F48" s="1">
        <v>43375</v>
      </c>
      <c r="G48" s="1">
        <v>43543</v>
      </c>
      <c r="H48">
        <v>2018</v>
      </c>
      <c r="I48">
        <v>8</v>
      </c>
      <c r="J48">
        <v>987654</v>
      </c>
      <c r="K48" t="s">
        <v>202</v>
      </c>
      <c r="L48">
        <v>4</v>
      </c>
      <c r="N48" t="s">
        <v>203</v>
      </c>
      <c r="P48" t="s">
        <v>204</v>
      </c>
      <c r="Q48" t="s">
        <v>205</v>
      </c>
      <c r="V48">
        <v>3</v>
      </c>
      <c r="W48" t="s">
        <v>206</v>
      </c>
    </row>
    <row r="49" spans="1:23" x14ac:dyDescent="0.3">
      <c r="A49">
        <v>48</v>
      </c>
      <c r="B49" t="s">
        <v>207</v>
      </c>
      <c r="C49" t="s">
        <v>179</v>
      </c>
      <c r="D49">
        <v>24</v>
      </c>
      <c r="E49" t="s">
        <v>25</v>
      </c>
      <c r="F49" s="1">
        <v>44208</v>
      </c>
      <c r="G49" s="1">
        <v>44460</v>
      </c>
      <c r="H49">
        <v>2021</v>
      </c>
      <c r="I49">
        <v>8.3000000000000007</v>
      </c>
      <c r="J49">
        <v>987654</v>
      </c>
      <c r="K49" t="s">
        <v>202</v>
      </c>
      <c r="L49">
        <v>4</v>
      </c>
      <c r="N49" t="s">
        <v>203</v>
      </c>
      <c r="P49" t="s">
        <v>204</v>
      </c>
      <c r="Q49" t="s">
        <v>205</v>
      </c>
      <c r="V49">
        <v>3</v>
      </c>
      <c r="W49" t="s">
        <v>206</v>
      </c>
    </row>
    <row r="50" spans="1:23" x14ac:dyDescent="0.3">
      <c r="A50">
        <v>49</v>
      </c>
      <c r="B50" t="s">
        <v>208</v>
      </c>
      <c r="C50" t="s">
        <v>179</v>
      </c>
      <c r="D50">
        <v>24</v>
      </c>
      <c r="E50" t="s">
        <v>46</v>
      </c>
      <c r="F50" s="1">
        <v>45387</v>
      </c>
      <c r="G50" t="s">
        <v>484</v>
      </c>
      <c r="H50">
        <v>2024</v>
      </c>
      <c r="J50">
        <v>987654</v>
      </c>
      <c r="K50" t="s">
        <v>202</v>
      </c>
      <c r="L50">
        <v>4</v>
      </c>
      <c r="N50" t="s">
        <v>203</v>
      </c>
      <c r="P50" t="s">
        <v>204</v>
      </c>
      <c r="V50">
        <v>2</v>
      </c>
      <c r="W50" t="s">
        <v>209</v>
      </c>
    </row>
    <row r="51" spans="1:23" x14ac:dyDescent="0.3">
      <c r="A51">
        <v>50</v>
      </c>
      <c r="B51" t="s">
        <v>210</v>
      </c>
      <c r="C51" t="s">
        <v>179</v>
      </c>
      <c r="D51">
        <v>13</v>
      </c>
      <c r="E51" t="s">
        <v>25</v>
      </c>
      <c r="F51" s="1">
        <v>42192</v>
      </c>
      <c r="G51" s="1">
        <v>42276</v>
      </c>
      <c r="H51">
        <v>2015</v>
      </c>
      <c r="I51">
        <v>7.8</v>
      </c>
      <c r="J51">
        <v>876543</v>
      </c>
      <c r="K51" t="s">
        <v>211</v>
      </c>
      <c r="L51">
        <v>4</v>
      </c>
      <c r="N51" t="s">
        <v>212</v>
      </c>
      <c r="P51" t="s">
        <v>213</v>
      </c>
      <c r="Q51" t="s">
        <v>214</v>
      </c>
      <c r="V51">
        <v>3</v>
      </c>
      <c r="W51" t="s">
        <v>215</v>
      </c>
    </row>
    <row r="52" spans="1:23" x14ac:dyDescent="0.3">
      <c r="A52">
        <v>51</v>
      </c>
      <c r="B52" t="s">
        <v>216</v>
      </c>
      <c r="C52" t="s">
        <v>179</v>
      </c>
      <c r="D52">
        <v>13</v>
      </c>
      <c r="E52" t="s">
        <v>25</v>
      </c>
      <c r="F52" s="1">
        <v>43110</v>
      </c>
      <c r="G52" s="1">
        <v>43194</v>
      </c>
      <c r="H52">
        <v>2018</v>
      </c>
      <c r="I52">
        <v>7.8</v>
      </c>
      <c r="J52">
        <v>876543</v>
      </c>
      <c r="K52" t="s">
        <v>211</v>
      </c>
      <c r="L52">
        <v>4</v>
      </c>
      <c r="N52" t="s">
        <v>212</v>
      </c>
      <c r="P52" t="s">
        <v>213</v>
      </c>
      <c r="Q52" t="s">
        <v>214</v>
      </c>
      <c r="V52">
        <v>3</v>
      </c>
      <c r="W52" t="s">
        <v>215</v>
      </c>
    </row>
    <row r="53" spans="1:23" x14ac:dyDescent="0.3">
      <c r="A53">
        <v>52</v>
      </c>
      <c r="B53" t="s">
        <v>217</v>
      </c>
      <c r="C53" t="s">
        <v>179</v>
      </c>
      <c r="D53">
        <v>13</v>
      </c>
      <c r="E53" t="s">
        <v>25</v>
      </c>
      <c r="F53" s="1">
        <v>43292</v>
      </c>
      <c r="G53" s="1">
        <v>43375</v>
      </c>
      <c r="H53">
        <v>2018</v>
      </c>
      <c r="I53">
        <v>7.7</v>
      </c>
      <c r="J53">
        <v>876543</v>
      </c>
      <c r="K53" t="s">
        <v>211</v>
      </c>
      <c r="L53">
        <v>4</v>
      </c>
      <c r="N53" t="s">
        <v>212</v>
      </c>
      <c r="P53" t="s">
        <v>213</v>
      </c>
      <c r="Q53" t="s">
        <v>214</v>
      </c>
      <c r="V53">
        <v>3</v>
      </c>
      <c r="W53" t="s">
        <v>218</v>
      </c>
    </row>
    <row r="54" spans="1:23" x14ac:dyDescent="0.3">
      <c r="A54">
        <v>53</v>
      </c>
      <c r="B54" t="s">
        <v>219</v>
      </c>
      <c r="C54" t="s">
        <v>179</v>
      </c>
      <c r="D54">
        <v>13</v>
      </c>
      <c r="E54" t="s">
        <v>25</v>
      </c>
      <c r="F54" s="1">
        <v>44747</v>
      </c>
      <c r="G54" s="1">
        <v>44831</v>
      </c>
      <c r="H54">
        <v>2022</v>
      </c>
      <c r="I54">
        <v>7.9</v>
      </c>
      <c r="J54">
        <v>876543</v>
      </c>
      <c r="K54" t="s">
        <v>211</v>
      </c>
      <c r="L54">
        <v>4</v>
      </c>
      <c r="N54" t="s">
        <v>212</v>
      </c>
      <c r="P54" t="s">
        <v>213</v>
      </c>
      <c r="V54">
        <v>2</v>
      </c>
      <c r="W54" t="s">
        <v>215</v>
      </c>
    </row>
    <row r="55" spans="1:23" x14ac:dyDescent="0.3">
      <c r="A55">
        <v>54</v>
      </c>
      <c r="B55" t="s">
        <v>220</v>
      </c>
      <c r="C55" t="s">
        <v>221</v>
      </c>
      <c r="D55">
        <v>25</v>
      </c>
      <c r="E55" t="s">
        <v>25</v>
      </c>
      <c r="F55" s="1">
        <v>38996</v>
      </c>
      <c r="G55" s="1">
        <v>39292</v>
      </c>
      <c r="H55">
        <v>2006</v>
      </c>
      <c r="I55">
        <v>8.6999999999999993</v>
      </c>
      <c r="J55">
        <v>987654</v>
      </c>
      <c r="K55" t="s">
        <v>222</v>
      </c>
      <c r="L55">
        <v>6</v>
      </c>
      <c r="M55" t="s">
        <v>223</v>
      </c>
      <c r="N55" t="s">
        <v>224</v>
      </c>
      <c r="P55" t="s">
        <v>225</v>
      </c>
      <c r="Q55" t="s">
        <v>226</v>
      </c>
      <c r="V55">
        <v>4</v>
      </c>
      <c r="W55" t="s">
        <v>227</v>
      </c>
    </row>
    <row r="56" spans="1:23" x14ac:dyDescent="0.3">
      <c r="A56">
        <v>55</v>
      </c>
      <c r="B56" t="s">
        <v>228</v>
      </c>
      <c r="C56" t="s">
        <v>221</v>
      </c>
      <c r="D56">
        <v>25</v>
      </c>
      <c r="E56" t="s">
        <v>25</v>
      </c>
      <c r="F56" s="1">
        <v>39544</v>
      </c>
      <c r="G56" s="1">
        <v>39719</v>
      </c>
      <c r="H56">
        <v>2008</v>
      </c>
      <c r="I56">
        <v>9</v>
      </c>
      <c r="J56">
        <v>987654</v>
      </c>
      <c r="K56" t="s">
        <v>222</v>
      </c>
      <c r="L56">
        <v>6</v>
      </c>
      <c r="M56" t="s">
        <v>223</v>
      </c>
      <c r="N56" t="s">
        <v>224</v>
      </c>
      <c r="P56" t="s">
        <v>225</v>
      </c>
      <c r="Q56" t="s">
        <v>226</v>
      </c>
      <c r="V56">
        <v>4</v>
      </c>
      <c r="W56" t="s">
        <v>229</v>
      </c>
    </row>
    <row r="57" spans="1:23" x14ac:dyDescent="0.3">
      <c r="A57">
        <v>56</v>
      </c>
      <c r="B57" t="s">
        <v>230</v>
      </c>
      <c r="C57" t="s">
        <v>221</v>
      </c>
      <c r="D57">
        <v>26</v>
      </c>
      <c r="E57" t="s">
        <v>25</v>
      </c>
      <c r="F57" s="1">
        <v>35888</v>
      </c>
      <c r="G57" s="1">
        <v>36274</v>
      </c>
      <c r="H57">
        <v>1998</v>
      </c>
      <c r="I57">
        <v>8.8000000000000007</v>
      </c>
      <c r="J57">
        <v>876543</v>
      </c>
      <c r="K57" t="s">
        <v>231</v>
      </c>
      <c r="L57">
        <v>6</v>
      </c>
      <c r="M57" t="s">
        <v>232</v>
      </c>
      <c r="N57" t="s">
        <v>233</v>
      </c>
      <c r="P57" t="s">
        <v>234</v>
      </c>
      <c r="Q57" t="s">
        <v>235</v>
      </c>
      <c r="V57">
        <v>4</v>
      </c>
      <c r="W57" t="s">
        <v>236</v>
      </c>
    </row>
    <row r="58" spans="1:23" x14ac:dyDescent="0.3">
      <c r="A58">
        <v>57</v>
      </c>
      <c r="B58" t="s">
        <v>237</v>
      </c>
      <c r="C58" t="s">
        <v>221</v>
      </c>
      <c r="D58">
        <v>26</v>
      </c>
      <c r="E58" t="s">
        <v>25</v>
      </c>
      <c r="F58" s="1">
        <v>34976</v>
      </c>
      <c r="G58" s="1">
        <v>35151</v>
      </c>
      <c r="H58">
        <v>1995</v>
      </c>
      <c r="I58">
        <v>8.3000000000000007</v>
      </c>
      <c r="J58">
        <v>987654</v>
      </c>
      <c r="K58" t="s">
        <v>238</v>
      </c>
      <c r="L58">
        <v>5</v>
      </c>
      <c r="M58" t="s">
        <v>239</v>
      </c>
      <c r="V58">
        <v>1</v>
      </c>
      <c r="W58" t="s">
        <v>240</v>
      </c>
    </row>
    <row r="59" spans="1:23" x14ac:dyDescent="0.3">
      <c r="A59">
        <v>58</v>
      </c>
      <c r="B59" t="s">
        <v>241</v>
      </c>
      <c r="C59" t="s">
        <v>242</v>
      </c>
      <c r="D59">
        <v>1</v>
      </c>
      <c r="E59" t="s">
        <v>25</v>
      </c>
      <c r="F59" s="1">
        <v>35630</v>
      </c>
      <c r="G59" s="1">
        <v>35630</v>
      </c>
      <c r="H59">
        <v>1997</v>
      </c>
      <c r="I59">
        <v>8.6</v>
      </c>
      <c r="J59">
        <v>876543</v>
      </c>
      <c r="K59" t="s">
        <v>238</v>
      </c>
      <c r="L59">
        <v>5</v>
      </c>
      <c r="M59" t="s">
        <v>239</v>
      </c>
      <c r="V59">
        <v>1</v>
      </c>
      <c r="W59" t="s">
        <v>243</v>
      </c>
    </row>
    <row r="60" spans="1:23" x14ac:dyDescent="0.3">
      <c r="A60">
        <v>59</v>
      </c>
      <c r="B60" t="s">
        <v>244</v>
      </c>
      <c r="C60" t="s">
        <v>64</v>
      </c>
      <c r="D60">
        <v>25</v>
      </c>
      <c r="E60" t="s">
        <v>25</v>
      </c>
      <c r="F60" s="1">
        <v>35711</v>
      </c>
      <c r="G60" s="1">
        <v>35886</v>
      </c>
      <c r="H60">
        <v>1997</v>
      </c>
      <c r="I60">
        <v>8.4</v>
      </c>
      <c r="J60">
        <v>765432</v>
      </c>
      <c r="K60" t="s">
        <v>245</v>
      </c>
      <c r="L60">
        <v>7</v>
      </c>
      <c r="N60" t="s">
        <v>246</v>
      </c>
      <c r="V60">
        <v>1</v>
      </c>
      <c r="W60" t="s">
        <v>247</v>
      </c>
    </row>
    <row r="61" spans="1:23" x14ac:dyDescent="0.3">
      <c r="A61">
        <v>60</v>
      </c>
      <c r="B61" t="s">
        <v>244</v>
      </c>
      <c r="C61" t="s">
        <v>64</v>
      </c>
      <c r="D61">
        <v>12</v>
      </c>
      <c r="E61" t="s">
        <v>25</v>
      </c>
      <c r="F61" s="1">
        <v>42552</v>
      </c>
      <c r="G61" s="1">
        <v>42629</v>
      </c>
      <c r="H61">
        <v>2016</v>
      </c>
      <c r="I61">
        <v>6.3</v>
      </c>
      <c r="J61">
        <v>654321</v>
      </c>
      <c r="K61" t="s">
        <v>245</v>
      </c>
      <c r="L61">
        <v>7</v>
      </c>
      <c r="N61" t="s">
        <v>246</v>
      </c>
      <c r="V61">
        <v>1</v>
      </c>
      <c r="W61" t="s">
        <v>247</v>
      </c>
    </row>
    <row r="62" spans="1:23" x14ac:dyDescent="0.3">
      <c r="A62">
        <v>61</v>
      </c>
      <c r="B62" t="s">
        <v>244</v>
      </c>
      <c r="C62" t="s">
        <v>64</v>
      </c>
      <c r="D62">
        <v>12</v>
      </c>
      <c r="E62" t="s">
        <v>25</v>
      </c>
      <c r="F62" s="1">
        <v>42832</v>
      </c>
      <c r="G62" s="1">
        <v>42909</v>
      </c>
      <c r="H62">
        <v>2017</v>
      </c>
      <c r="I62">
        <v>6.5</v>
      </c>
      <c r="J62">
        <v>654321</v>
      </c>
      <c r="K62" t="s">
        <v>245</v>
      </c>
      <c r="L62">
        <v>7</v>
      </c>
      <c r="N62" t="s">
        <v>246</v>
      </c>
      <c r="V62">
        <v>1</v>
      </c>
      <c r="W62" t="s">
        <v>247</v>
      </c>
    </row>
    <row r="63" spans="1:23" x14ac:dyDescent="0.3">
      <c r="A63">
        <v>62</v>
      </c>
      <c r="B63" t="s">
        <v>248</v>
      </c>
      <c r="C63" t="s">
        <v>24</v>
      </c>
      <c r="D63">
        <v>26</v>
      </c>
      <c r="E63" t="s">
        <v>25</v>
      </c>
      <c r="F63" s="1">
        <v>41188</v>
      </c>
      <c r="G63" s="1">
        <v>41370</v>
      </c>
      <c r="H63">
        <v>2012</v>
      </c>
      <c r="I63">
        <v>7.8</v>
      </c>
      <c r="J63">
        <v>1234567</v>
      </c>
      <c r="K63" t="s">
        <v>249</v>
      </c>
      <c r="L63">
        <v>3</v>
      </c>
      <c r="M63" t="s">
        <v>250</v>
      </c>
      <c r="N63" t="s">
        <v>251</v>
      </c>
      <c r="V63">
        <v>2</v>
      </c>
      <c r="W63" t="s">
        <v>252</v>
      </c>
    </row>
    <row r="64" spans="1:23" x14ac:dyDescent="0.3">
      <c r="A64">
        <v>63</v>
      </c>
      <c r="B64" t="s">
        <v>253</v>
      </c>
      <c r="C64" t="s">
        <v>24</v>
      </c>
      <c r="D64">
        <v>48</v>
      </c>
      <c r="E64" t="s">
        <v>25</v>
      </c>
      <c r="F64" s="1">
        <v>41734</v>
      </c>
      <c r="G64" s="1">
        <v>42175</v>
      </c>
      <c r="H64">
        <v>2014</v>
      </c>
      <c r="I64">
        <v>8.1999999999999993</v>
      </c>
      <c r="J64">
        <v>1234567</v>
      </c>
      <c r="K64" t="s">
        <v>249</v>
      </c>
      <c r="L64">
        <v>3</v>
      </c>
      <c r="M64" t="s">
        <v>250</v>
      </c>
      <c r="N64" t="s">
        <v>254</v>
      </c>
      <c r="V64">
        <v>2</v>
      </c>
      <c r="W64" t="s">
        <v>255</v>
      </c>
    </row>
    <row r="65" spans="1:23" x14ac:dyDescent="0.3">
      <c r="A65">
        <v>64</v>
      </c>
      <c r="B65" t="s">
        <v>256</v>
      </c>
      <c r="C65" t="s">
        <v>24</v>
      </c>
      <c r="D65">
        <v>39</v>
      </c>
      <c r="E65" t="s">
        <v>25</v>
      </c>
      <c r="F65" s="1">
        <v>42462</v>
      </c>
      <c r="G65" s="1">
        <v>42728</v>
      </c>
      <c r="H65">
        <v>2016</v>
      </c>
      <c r="I65">
        <v>8.3000000000000007</v>
      </c>
      <c r="J65">
        <v>1234567</v>
      </c>
      <c r="K65" t="s">
        <v>249</v>
      </c>
      <c r="L65">
        <v>3</v>
      </c>
      <c r="M65" t="s">
        <v>250</v>
      </c>
      <c r="N65" t="s">
        <v>257</v>
      </c>
      <c r="V65">
        <v>2</v>
      </c>
      <c r="W65" t="s">
        <v>258</v>
      </c>
    </row>
    <row r="66" spans="1:23" x14ac:dyDescent="0.3">
      <c r="A66">
        <v>65</v>
      </c>
      <c r="B66" t="s">
        <v>259</v>
      </c>
      <c r="C66" t="s">
        <v>24</v>
      </c>
      <c r="D66">
        <v>39</v>
      </c>
      <c r="E66" t="s">
        <v>25</v>
      </c>
      <c r="F66" s="1">
        <v>43379</v>
      </c>
      <c r="G66" s="1">
        <v>43674</v>
      </c>
      <c r="H66">
        <v>2018</v>
      </c>
      <c r="I66">
        <v>8.6</v>
      </c>
      <c r="J66">
        <v>1234567</v>
      </c>
      <c r="K66" t="s">
        <v>249</v>
      </c>
      <c r="L66">
        <v>3</v>
      </c>
      <c r="M66" t="s">
        <v>250</v>
      </c>
      <c r="N66" t="s">
        <v>260</v>
      </c>
      <c r="V66">
        <v>2</v>
      </c>
      <c r="W66" t="s">
        <v>261</v>
      </c>
    </row>
    <row r="67" spans="1:23" x14ac:dyDescent="0.3">
      <c r="A67">
        <v>66</v>
      </c>
      <c r="B67" t="s">
        <v>262</v>
      </c>
      <c r="C67" t="s">
        <v>24</v>
      </c>
      <c r="D67">
        <v>38</v>
      </c>
      <c r="E67" t="s">
        <v>25</v>
      </c>
      <c r="F67" s="1">
        <v>44531</v>
      </c>
      <c r="G67" s="1">
        <v>44896</v>
      </c>
      <c r="H67">
        <v>2021</v>
      </c>
      <c r="I67">
        <v>8.5</v>
      </c>
      <c r="J67">
        <v>1234567</v>
      </c>
      <c r="K67" t="s">
        <v>249</v>
      </c>
      <c r="L67">
        <v>3</v>
      </c>
      <c r="M67" t="s">
        <v>250</v>
      </c>
      <c r="V67">
        <v>1</v>
      </c>
      <c r="W67" t="s">
        <v>263</v>
      </c>
    </row>
    <row r="68" spans="1:23" x14ac:dyDescent="0.3">
      <c r="A68">
        <v>67</v>
      </c>
      <c r="B68" t="s">
        <v>264</v>
      </c>
      <c r="C68" t="s">
        <v>24</v>
      </c>
      <c r="D68">
        <v>25</v>
      </c>
      <c r="E68" t="s">
        <v>25</v>
      </c>
      <c r="F68" s="1">
        <v>41735</v>
      </c>
      <c r="G68" s="1">
        <v>41903</v>
      </c>
      <c r="H68">
        <v>2014</v>
      </c>
      <c r="I68">
        <v>8.4</v>
      </c>
      <c r="J68">
        <v>987654</v>
      </c>
      <c r="K68" t="s">
        <v>265</v>
      </c>
      <c r="L68">
        <v>4</v>
      </c>
      <c r="M68" t="s">
        <v>266</v>
      </c>
      <c r="N68" t="s">
        <v>267</v>
      </c>
      <c r="V68">
        <v>2</v>
      </c>
      <c r="W68" t="s">
        <v>268</v>
      </c>
    </row>
    <row r="69" spans="1:23" x14ac:dyDescent="0.3">
      <c r="A69">
        <v>68</v>
      </c>
      <c r="B69" t="s">
        <v>269</v>
      </c>
      <c r="C69" t="s">
        <v>24</v>
      </c>
      <c r="D69">
        <v>25</v>
      </c>
      <c r="E69" t="s">
        <v>25</v>
      </c>
      <c r="F69" s="1">
        <v>42281</v>
      </c>
      <c r="G69" s="1">
        <v>42456</v>
      </c>
      <c r="H69">
        <v>2015</v>
      </c>
      <c r="I69">
        <v>8.6</v>
      </c>
      <c r="J69">
        <v>987654</v>
      </c>
      <c r="K69" t="s">
        <v>265</v>
      </c>
      <c r="L69">
        <v>4</v>
      </c>
      <c r="M69" t="s">
        <v>270</v>
      </c>
      <c r="N69" t="s">
        <v>267</v>
      </c>
      <c r="V69">
        <v>2</v>
      </c>
      <c r="W69" t="s">
        <v>271</v>
      </c>
    </row>
    <row r="70" spans="1:23" x14ac:dyDescent="0.3">
      <c r="A70">
        <v>69</v>
      </c>
      <c r="B70" t="s">
        <v>272</v>
      </c>
      <c r="C70" t="s">
        <v>24</v>
      </c>
      <c r="D70">
        <v>10</v>
      </c>
      <c r="E70" t="s">
        <v>25</v>
      </c>
      <c r="F70" s="1">
        <v>42651</v>
      </c>
      <c r="G70" s="1">
        <v>42714</v>
      </c>
      <c r="H70">
        <v>2016</v>
      </c>
      <c r="I70">
        <v>8.9</v>
      </c>
      <c r="J70">
        <v>987654</v>
      </c>
      <c r="K70" t="s">
        <v>265</v>
      </c>
      <c r="L70">
        <v>4</v>
      </c>
      <c r="M70" t="s">
        <v>273</v>
      </c>
      <c r="N70" t="s">
        <v>267</v>
      </c>
      <c r="V70">
        <v>2</v>
      </c>
      <c r="W70" t="s">
        <v>274</v>
      </c>
    </row>
    <row r="71" spans="1:23" x14ac:dyDescent="0.3">
      <c r="A71">
        <v>70</v>
      </c>
      <c r="B71" t="s">
        <v>275</v>
      </c>
      <c r="C71" t="s">
        <v>24</v>
      </c>
      <c r="D71">
        <v>25</v>
      </c>
      <c r="E71" t="s">
        <v>25</v>
      </c>
      <c r="F71" s="1">
        <v>43840</v>
      </c>
      <c r="G71" s="1">
        <v>44108</v>
      </c>
      <c r="H71">
        <v>2020</v>
      </c>
      <c r="I71">
        <v>8.8000000000000007</v>
      </c>
      <c r="J71">
        <v>987654</v>
      </c>
      <c r="K71" t="s">
        <v>265</v>
      </c>
      <c r="L71">
        <v>4</v>
      </c>
      <c r="M71" t="s">
        <v>276</v>
      </c>
      <c r="N71" t="s">
        <v>267</v>
      </c>
      <c r="V71">
        <v>2</v>
      </c>
      <c r="W71" t="s">
        <v>277</v>
      </c>
    </row>
    <row r="72" spans="1:23" x14ac:dyDescent="0.3">
      <c r="A72">
        <v>71</v>
      </c>
      <c r="B72" t="s">
        <v>278</v>
      </c>
      <c r="C72" t="s">
        <v>24</v>
      </c>
      <c r="D72">
        <v>25</v>
      </c>
      <c r="E72" t="s">
        <v>25</v>
      </c>
      <c r="F72" s="1">
        <v>41007</v>
      </c>
      <c r="G72" s="1">
        <v>41175</v>
      </c>
      <c r="H72">
        <v>2012</v>
      </c>
      <c r="I72">
        <v>8.1</v>
      </c>
      <c r="J72">
        <v>876543</v>
      </c>
      <c r="K72" t="s">
        <v>279</v>
      </c>
      <c r="L72">
        <v>3</v>
      </c>
      <c r="M72" t="s">
        <v>280</v>
      </c>
      <c r="N72" t="s">
        <v>281</v>
      </c>
      <c r="V72">
        <v>2</v>
      </c>
      <c r="W72" t="s">
        <v>282</v>
      </c>
    </row>
    <row r="73" spans="1:23" x14ac:dyDescent="0.3">
      <c r="A73">
        <v>72</v>
      </c>
      <c r="B73" t="s">
        <v>283</v>
      </c>
      <c r="C73" t="s">
        <v>24</v>
      </c>
      <c r="D73">
        <v>25</v>
      </c>
      <c r="E73" t="s">
        <v>25</v>
      </c>
      <c r="F73" s="1">
        <v>41553</v>
      </c>
      <c r="G73" s="1">
        <v>41728</v>
      </c>
      <c r="H73">
        <v>2013</v>
      </c>
      <c r="I73">
        <v>8.4</v>
      </c>
      <c r="J73">
        <v>876543</v>
      </c>
      <c r="K73" t="s">
        <v>279</v>
      </c>
      <c r="L73">
        <v>3</v>
      </c>
      <c r="M73" t="s">
        <v>284</v>
      </c>
      <c r="N73" t="s">
        <v>281</v>
      </c>
      <c r="V73">
        <v>2</v>
      </c>
      <c r="W73" t="s">
        <v>285</v>
      </c>
    </row>
    <row r="74" spans="1:23" x14ac:dyDescent="0.3">
      <c r="A74">
        <v>73</v>
      </c>
      <c r="B74" t="s">
        <v>286</v>
      </c>
      <c r="C74" t="s">
        <v>24</v>
      </c>
      <c r="D74">
        <v>25</v>
      </c>
      <c r="E74" t="s">
        <v>25</v>
      </c>
      <c r="F74" s="1">
        <v>42015</v>
      </c>
      <c r="G74" s="1">
        <v>42184</v>
      </c>
      <c r="H74">
        <v>2015</v>
      </c>
      <c r="I74">
        <v>8.6999999999999993</v>
      </c>
      <c r="J74">
        <v>876543</v>
      </c>
      <c r="K74" t="s">
        <v>279</v>
      </c>
      <c r="L74">
        <v>3</v>
      </c>
      <c r="M74" t="s">
        <v>162</v>
      </c>
      <c r="N74" t="s">
        <v>281</v>
      </c>
      <c r="V74">
        <v>2</v>
      </c>
      <c r="W74" t="s">
        <v>287</v>
      </c>
    </row>
    <row r="75" spans="1:23" x14ac:dyDescent="0.3">
      <c r="A75">
        <v>74</v>
      </c>
      <c r="B75" t="s">
        <v>288</v>
      </c>
      <c r="C75" t="s">
        <v>24</v>
      </c>
      <c r="D75">
        <v>24</v>
      </c>
      <c r="E75" t="s">
        <v>25</v>
      </c>
      <c r="F75" s="1">
        <v>44843</v>
      </c>
      <c r="G75" s="1">
        <v>45011</v>
      </c>
      <c r="H75">
        <v>2022</v>
      </c>
      <c r="I75">
        <v>8.3000000000000007</v>
      </c>
      <c r="J75">
        <v>987654</v>
      </c>
      <c r="K75" t="s">
        <v>289</v>
      </c>
      <c r="L75">
        <v>3</v>
      </c>
      <c r="N75" t="s">
        <v>290</v>
      </c>
      <c r="V75">
        <v>1</v>
      </c>
      <c r="W75" t="s">
        <v>291</v>
      </c>
    </row>
    <row r="76" spans="1:23" x14ac:dyDescent="0.3">
      <c r="A76">
        <v>75</v>
      </c>
      <c r="B76" t="s">
        <v>292</v>
      </c>
      <c r="C76" t="s">
        <v>24</v>
      </c>
      <c r="D76">
        <v>24</v>
      </c>
      <c r="E76" t="s">
        <v>25</v>
      </c>
      <c r="F76" s="1">
        <v>43651</v>
      </c>
      <c r="G76" s="1">
        <v>43812</v>
      </c>
      <c r="H76">
        <v>2019</v>
      </c>
      <c r="I76">
        <v>8.1999999999999993</v>
      </c>
      <c r="J76">
        <v>876543</v>
      </c>
      <c r="K76" t="s">
        <v>293</v>
      </c>
      <c r="L76">
        <v>3</v>
      </c>
      <c r="N76" t="s">
        <v>294</v>
      </c>
      <c r="Q76" t="s">
        <v>295</v>
      </c>
      <c r="V76">
        <v>2</v>
      </c>
      <c r="W76" t="s">
        <v>296</v>
      </c>
    </row>
    <row r="77" spans="1:23" x14ac:dyDescent="0.3">
      <c r="A77">
        <v>76</v>
      </c>
      <c r="B77" t="s">
        <v>297</v>
      </c>
      <c r="C77" t="s">
        <v>24</v>
      </c>
      <c r="D77">
        <v>25</v>
      </c>
      <c r="E77" t="s">
        <v>46</v>
      </c>
      <c r="F77" s="1">
        <v>44660</v>
      </c>
      <c r="G77" t="s">
        <v>484</v>
      </c>
      <c r="H77">
        <v>2022</v>
      </c>
      <c r="I77">
        <v>8.6999999999999993</v>
      </c>
      <c r="J77">
        <v>1456789</v>
      </c>
      <c r="K77" t="s">
        <v>298</v>
      </c>
      <c r="L77">
        <v>3</v>
      </c>
      <c r="N77" t="s">
        <v>299</v>
      </c>
      <c r="P77" t="s">
        <v>300</v>
      </c>
      <c r="V77">
        <v>2</v>
      </c>
      <c r="W77" t="s">
        <v>301</v>
      </c>
    </row>
    <row r="78" spans="1:23" x14ac:dyDescent="0.3">
      <c r="A78">
        <v>77</v>
      </c>
      <c r="B78" t="s">
        <v>302</v>
      </c>
      <c r="C78" t="s">
        <v>24</v>
      </c>
      <c r="D78">
        <v>12</v>
      </c>
      <c r="E78" t="s">
        <v>25</v>
      </c>
      <c r="F78" s="1">
        <v>42563</v>
      </c>
      <c r="G78" s="1">
        <v>42640</v>
      </c>
      <c r="H78">
        <v>2016</v>
      </c>
      <c r="I78">
        <v>8.5</v>
      </c>
      <c r="J78">
        <v>987654</v>
      </c>
      <c r="K78" t="s">
        <v>303</v>
      </c>
      <c r="L78">
        <v>3</v>
      </c>
      <c r="N78" t="s">
        <v>304</v>
      </c>
      <c r="Q78" t="s">
        <v>305</v>
      </c>
      <c r="V78">
        <v>2</v>
      </c>
      <c r="W78" t="s">
        <v>306</v>
      </c>
    </row>
    <row r="79" spans="1:23" x14ac:dyDescent="0.3">
      <c r="A79">
        <v>78</v>
      </c>
      <c r="B79" t="s">
        <v>307</v>
      </c>
      <c r="C79" t="s">
        <v>24</v>
      </c>
      <c r="D79">
        <v>13</v>
      </c>
      <c r="E79" t="s">
        <v>25</v>
      </c>
      <c r="F79" s="1">
        <v>43472</v>
      </c>
      <c r="G79" s="1">
        <v>43556</v>
      </c>
      <c r="H79">
        <v>2019</v>
      </c>
      <c r="I79">
        <v>8.9</v>
      </c>
      <c r="J79">
        <v>987654</v>
      </c>
      <c r="K79" t="s">
        <v>303</v>
      </c>
      <c r="L79">
        <v>3</v>
      </c>
      <c r="N79" t="s">
        <v>304</v>
      </c>
      <c r="Q79" t="s">
        <v>305</v>
      </c>
      <c r="V79">
        <v>2</v>
      </c>
      <c r="W79" t="s">
        <v>308</v>
      </c>
    </row>
    <row r="80" spans="1:23" x14ac:dyDescent="0.3">
      <c r="A80">
        <v>79</v>
      </c>
      <c r="B80" t="s">
        <v>309</v>
      </c>
      <c r="C80" t="s">
        <v>24</v>
      </c>
      <c r="D80">
        <v>12</v>
      </c>
      <c r="E80" t="s">
        <v>25</v>
      </c>
      <c r="F80" s="1">
        <v>44840</v>
      </c>
      <c r="G80" s="1">
        <v>44917</v>
      </c>
      <c r="H80">
        <v>2022</v>
      </c>
      <c r="I80">
        <v>9.1</v>
      </c>
      <c r="J80">
        <v>987654</v>
      </c>
      <c r="K80" t="s">
        <v>303</v>
      </c>
      <c r="L80">
        <v>3</v>
      </c>
      <c r="N80" t="s">
        <v>304</v>
      </c>
      <c r="V80">
        <v>1</v>
      </c>
      <c r="W80" t="s">
        <v>310</v>
      </c>
    </row>
    <row r="81" spans="1:23" x14ac:dyDescent="0.3">
      <c r="A81">
        <v>80</v>
      </c>
      <c r="B81" t="s">
        <v>311</v>
      </c>
      <c r="C81" t="s">
        <v>24</v>
      </c>
      <c r="D81">
        <v>12</v>
      </c>
      <c r="E81" t="s">
        <v>25</v>
      </c>
      <c r="F81" s="1">
        <v>43475</v>
      </c>
      <c r="G81" s="1">
        <v>43553</v>
      </c>
      <c r="H81">
        <v>2019</v>
      </c>
      <c r="I81">
        <v>8.6</v>
      </c>
      <c r="J81">
        <v>1234567</v>
      </c>
      <c r="K81" t="s">
        <v>312</v>
      </c>
      <c r="L81">
        <v>4</v>
      </c>
      <c r="N81" t="s">
        <v>313</v>
      </c>
      <c r="P81" t="s">
        <v>314</v>
      </c>
      <c r="V81">
        <v>2</v>
      </c>
      <c r="W81" t="s">
        <v>315</v>
      </c>
    </row>
    <row r="82" spans="1:23" x14ac:dyDescent="0.3">
      <c r="A82">
        <v>81</v>
      </c>
      <c r="B82" t="s">
        <v>316</v>
      </c>
      <c r="C82" t="s">
        <v>24</v>
      </c>
      <c r="D82">
        <v>11</v>
      </c>
      <c r="E82" t="s">
        <v>25</v>
      </c>
      <c r="F82" s="1">
        <v>44204</v>
      </c>
      <c r="G82" s="1">
        <v>44281</v>
      </c>
      <c r="H82">
        <v>2021</v>
      </c>
      <c r="I82">
        <v>6.8</v>
      </c>
      <c r="J82">
        <v>987654</v>
      </c>
      <c r="K82" t="s">
        <v>312</v>
      </c>
      <c r="L82">
        <v>4</v>
      </c>
      <c r="N82" t="s">
        <v>317</v>
      </c>
      <c r="P82" t="s">
        <v>318</v>
      </c>
      <c r="V82">
        <v>2</v>
      </c>
      <c r="W82" t="s">
        <v>319</v>
      </c>
    </row>
    <row r="83" spans="1:23" x14ac:dyDescent="0.3">
      <c r="A83">
        <v>82</v>
      </c>
      <c r="B83" t="s">
        <v>320</v>
      </c>
      <c r="C83" t="s">
        <v>24</v>
      </c>
      <c r="D83">
        <v>24</v>
      </c>
      <c r="E83" t="s">
        <v>25</v>
      </c>
      <c r="F83" s="1">
        <v>43652</v>
      </c>
      <c r="G83" s="1">
        <v>43827</v>
      </c>
      <c r="H83">
        <v>2019</v>
      </c>
      <c r="I83">
        <v>7.7</v>
      </c>
      <c r="J83">
        <v>876543</v>
      </c>
      <c r="K83" t="s">
        <v>321</v>
      </c>
      <c r="L83">
        <v>2</v>
      </c>
      <c r="N83" t="s">
        <v>322</v>
      </c>
      <c r="Q83" t="s">
        <v>323</v>
      </c>
      <c r="V83">
        <v>2</v>
      </c>
      <c r="W83" t="s">
        <v>324</v>
      </c>
    </row>
    <row r="84" spans="1:23" x14ac:dyDescent="0.3">
      <c r="A84">
        <v>83</v>
      </c>
      <c r="B84" t="s">
        <v>325</v>
      </c>
      <c r="C84" t="s">
        <v>24</v>
      </c>
      <c r="D84">
        <v>24</v>
      </c>
      <c r="E84" t="s">
        <v>25</v>
      </c>
      <c r="F84" s="1">
        <v>44016</v>
      </c>
      <c r="G84" s="1">
        <v>44177</v>
      </c>
      <c r="H84">
        <v>2020</v>
      </c>
      <c r="I84">
        <v>8</v>
      </c>
      <c r="J84">
        <v>876543</v>
      </c>
      <c r="K84" t="s">
        <v>321</v>
      </c>
      <c r="L84">
        <v>2</v>
      </c>
      <c r="N84" t="s">
        <v>322</v>
      </c>
      <c r="Q84" t="s">
        <v>323</v>
      </c>
      <c r="V84">
        <v>2</v>
      </c>
      <c r="W84" t="s">
        <v>326</v>
      </c>
    </row>
    <row r="85" spans="1:23" x14ac:dyDescent="0.3">
      <c r="A85">
        <v>84</v>
      </c>
      <c r="B85" t="s">
        <v>327</v>
      </c>
      <c r="C85" t="s">
        <v>24</v>
      </c>
      <c r="D85">
        <v>51</v>
      </c>
      <c r="E85" t="s">
        <v>25</v>
      </c>
      <c r="F85" s="1">
        <v>39545</v>
      </c>
      <c r="G85" s="1">
        <v>39902</v>
      </c>
      <c r="H85">
        <v>2008</v>
      </c>
      <c r="I85">
        <v>7.8</v>
      </c>
      <c r="J85">
        <v>765432</v>
      </c>
      <c r="K85" t="s">
        <v>328</v>
      </c>
      <c r="L85">
        <v>4</v>
      </c>
      <c r="P85" t="s">
        <v>329</v>
      </c>
      <c r="Q85" t="s">
        <v>330</v>
      </c>
      <c r="V85">
        <v>2</v>
      </c>
      <c r="W85" t="s">
        <v>331</v>
      </c>
    </row>
    <row r="86" spans="1:23" x14ac:dyDescent="0.3">
      <c r="A86">
        <v>85</v>
      </c>
      <c r="B86" t="s">
        <v>332</v>
      </c>
      <c r="C86" t="s">
        <v>24</v>
      </c>
      <c r="D86">
        <v>12</v>
      </c>
      <c r="E86" t="s">
        <v>25</v>
      </c>
      <c r="F86" s="1">
        <v>41644</v>
      </c>
      <c r="G86" s="1">
        <v>41721</v>
      </c>
      <c r="H86">
        <v>2014</v>
      </c>
      <c r="I86">
        <v>7.9</v>
      </c>
      <c r="J86">
        <v>654321</v>
      </c>
      <c r="K86" t="s">
        <v>249</v>
      </c>
      <c r="L86">
        <v>3</v>
      </c>
      <c r="N86" t="s">
        <v>333</v>
      </c>
      <c r="P86" t="s">
        <v>334</v>
      </c>
      <c r="V86">
        <v>2</v>
      </c>
      <c r="W86" t="s">
        <v>335</v>
      </c>
    </row>
    <row r="87" spans="1:23" x14ac:dyDescent="0.3">
      <c r="A87">
        <v>86</v>
      </c>
      <c r="B87" t="s">
        <v>336</v>
      </c>
      <c r="C87" t="s">
        <v>24</v>
      </c>
      <c r="D87">
        <v>13</v>
      </c>
      <c r="E87" t="s">
        <v>25</v>
      </c>
      <c r="F87" s="1">
        <v>42280</v>
      </c>
      <c r="G87" s="1">
        <v>42364</v>
      </c>
      <c r="H87">
        <v>2015</v>
      </c>
      <c r="I87">
        <v>8.3000000000000007</v>
      </c>
      <c r="J87">
        <v>654321</v>
      </c>
      <c r="K87" t="s">
        <v>249</v>
      </c>
      <c r="L87">
        <v>3</v>
      </c>
      <c r="N87" t="s">
        <v>333</v>
      </c>
      <c r="P87" t="s">
        <v>337</v>
      </c>
      <c r="V87">
        <v>2</v>
      </c>
      <c r="W87" t="s">
        <v>338</v>
      </c>
    </row>
    <row r="88" spans="1:23" x14ac:dyDescent="0.3">
      <c r="A88">
        <v>87</v>
      </c>
      <c r="B88" t="s">
        <v>339</v>
      </c>
      <c r="C88" t="s">
        <v>64</v>
      </c>
      <c r="D88">
        <v>24</v>
      </c>
      <c r="E88" t="s">
        <v>25</v>
      </c>
      <c r="F88" s="1">
        <v>41921</v>
      </c>
      <c r="G88" s="1">
        <v>42089</v>
      </c>
      <c r="H88">
        <v>2014</v>
      </c>
      <c r="I88">
        <v>8.4</v>
      </c>
      <c r="J88">
        <v>876543</v>
      </c>
      <c r="K88" t="s">
        <v>340</v>
      </c>
      <c r="L88">
        <v>4</v>
      </c>
      <c r="N88" t="s">
        <v>341</v>
      </c>
      <c r="P88" t="s">
        <v>342</v>
      </c>
      <c r="V88">
        <v>2</v>
      </c>
      <c r="W88" t="s">
        <v>343</v>
      </c>
    </row>
    <row r="89" spans="1:23" x14ac:dyDescent="0.3">
      <c r="A89">
        <v>88</v>
      </c>
      <c r="B89" t="s">
        <v>344</v>
      </c>
      <c r="C89" t="s">
        <v>64</v>
      </c>
      <c r="D89">
        <v>22</v>
      </c>
      <c r="E89" t="s">
        <v>25</v>
      </c>
      <c r="F89" s="1">
        <v>41194</v>
      </c>
      <c r="G89" s="1">
        <v>41355</v>
      </c>
      <c r="H89">
        <v>2012</v>
      </c>
      <c r="I89">
        <v>8.3000000000000007</v>
      </c>
      <c r="J89">
        <v>765432</v>
      </c>
      <c r="K89" t="s">
        <v>345</v>
      </c>
      <c r="L89">
        <v>4</v>
      </c>
      <c r="N89" t="s">
        <v>346</v>
      </c>
      <c r="Q89" t="s">
        <v>347</v>
      </c>
      <c r="V89">
        <v>2</v>
      </c>
      <c r="W89" t="s">
        <v>348</v>
      </c>
    </row>
    <row r="90" spans="1:23" x14ac:dyDescent="0.3">
      <c r="A90">
        <v>89</v>
      </c>
      <c r="B90" t="s">
        <v>349</v>
      </c>
      <c r="C90" t="s">
        <v>64</v>
      </c>
      <c r="D90">
        <v>11</v>
      </c>
      <c r="E90" t="s">
        <v>25</v>
      </c>
      <c r="F90" s="1">
        <v>41922</v>
      </c>
      <c r="G90" s="1">
        <v>41992</v>
      </c>
      <c r="H90">
        <v>2014</v>
      </c>
      <c r="I90">
        <v>7.7</v>
      </c>
      <c r="J90">
        <v>654321</v>
      </c>
      <c r="K90" t="s">
        <v>345</v>
      </c>
      <c r="L90">
        <v>4</v>
      </c>
      <c r="N90" t="s">
        <v>346</v>
      </c>
      <c r="Q90" t="s">
        <v>347</v>
      </c>
      <c r="V90">
        <v>2</v>
      </c>
      <c r="W90" t="s">
        <v>350</v>
      </c>
    </row>
    <row r="91" spans="1:23" x14ac:dyDescent="0.3">
      <c r="A91">
        <v>90</v>
      </c>
      <c r="B91" t="s">
        <v>351</v>
      </c>
      <c r="C91" t="s">
        <v>64</v>
      </c>
      <c r="D91">
        <v>8</v>
      </c>
      <c r="E91" t="s">
        <v>25</v>
      </c>
      <c r="F91" s="1">
        <v>43763</v>
      </c>
      <c r="G91" s="1">
        <v>43812</v>
      </c>
      <c r="H91">
        <v>2019</v>
      </c>
      <c r="I91">
        <v>7.9</v>
      </c>
      <c r="J91">
        <v>543210</v>
      </c>
      <c r="K91" t="s">
        <v>345</v>
      </c>
      <c r="L91">
        <v>4</v>
      </c>
      <c r="O91" t="s">
        <v>352</v>
      </c>
      <c r="V91">
        <v>1</v>
      </c>
      <c r="W91" t="s">
        <v>353</v>
      </c>
    </row>
    <row r="92" spans="1:23" x14ac:dyDescent="0.3">
      <c r="A92">
        <v>91</v>
      </c>
      <c r="B92" t="s">
        <v>354</v>
      </c>
      <c r="C92" t="s">
        <v>64</v>
      </c>
      <c r="D92">
        <v>12</v>
      </c>
      <c r="E92" t="s">
        <v>25</v>
      </c>
      <c r="F92" s="1">
        <v>42377</v>
      </c>
      <c r="G92" s="1">
        <v>42454</v>
      </c>
      <c r="H92">
        <v>2016</v>
      </c>
      <c r="I92">
        <v>8.3000000000000007</v>
      </c>
      <c r="J92">
        <v>876543</v>
      </c>
      <c r="K92" t="s">
        <v>355</v>
      </c>
      <c r="L92">
        <v>3</v>
      </c>
      <c r="N92" t="s">
        <v>356</v>
      </c>
      <c r="P92" t="s">
        <v>357</v>
      </c>
      <c r="V92">
        <v>2</v>
      </c>
      <c r="W92" t="s">
        <v>358</v>
      </c>
    </row>
    <row r="93" spans="1:23" x14ac:dyDescent="0.3">
      <c r="A93">
        <v>92</v>
      </c>
      <c r="B93" t="s">
        <v>359</v>
      </c>
      <c r="C93" t="s">
        <v>64</v>
      </c>
      <c r="D93">
        <v>13</v>
      </c>
      <c r="E93" t="s">
        <v>25</v>
      </c>
      <c r="F93" s="1">
        <v>42923</v>
      </c>
      <c r="G93" s="1">
        <v>43007</v>
      </c>
      <c r="H93">
        <v>2017</v>
      </c>
      <c r="I93">
        <v>8.6999999999999993</v>
      </c>
      <c r="J93">
        <v>765432</v>
      </c>
      <c r="K93" t="s">
        <v>360</v>
      </c>
      <c r="L93">
        <v>5</v>
      </c>
      <c r="O93" t="s">
        <v>361</v>
      </c>
      <c r="T93" t="s">
        <v>362</v>
      </c>
      <c r="V93">
        <v>2</v>
      </c>
      <c r="W93" t="s">
        <v>363</v>
      </c>
    </row>
    <row r="94" spans="1:23" x14ac:dyDescent="0.3">
      <c r="A94">
        <v>93</v>
      </c>
      <c r="B94" t="s">
        <v>364</v>
      </c>
      <c r="C94" t="s">
        <v>242</v>
      </c>
      <c r="D94">
        <v>1</v>
      </c>
      <c r="E94" t="s">
        <v>25</v>
      </c>
      <c r="F94" s="1">
        <v>43847</v>
      </c>
      <c r="G94" s="1">
        <v>43847</v>
      </c>
      <c r="H94">
        <v>2020</v>
      </c>
      <c r="I94">
        <v>9</v>
      </c>
      <c r="J94">
        <v>654321</v>
      </c>
      <c r="K94" t="s">
        <v>360</v>
      </c>
      <c r="L94">
        <v>5</v>
      </c>
      <c r="O94" t="s">
        <v>365</v>
      </c>
      <c r="V94">
        <v>1</v>
      </c>
      <c r="W94" t="s">
        <v>366</v>
      </c>
    </row>
    <row r="95" spans="1:23" x14ac:dyDescent="0.3">
      <c r="A95">
        <v>94</v>
      </c>
      <c r="B95" t="s">
        <v>367</v>
      </c>
      <c r="C95" t="s">
        <v>64</v>
      </c>
      <c r="D95">
        <v>12</v>
      </c>
      <c r="E95" t="s">
        <v>25</v>
      </c>
      <c r="F95" s="1">
        <v>44748</v>
      </c>
      <c r="G95" s="1">
        <v>44832</v>
      </c>
      <c r="H95">
        <v>2022</v>
      </c>
      <c r="I95">
        <v>9.1</v>
      </c>
      <c r="J95">
        <v>765432</v>
      </c>
      <c r="K95" t="s">
        <v>360</v>
      </c>
      <c r="L95">
        <v>5</v>
      </c>
      <c r="T95" t="s">
        <v>368</v>
      </c>
      <c r="V95">
        <v>1</v>
      </c>
      <c r="W95" t="s">
        <v>369</v>
      </c>
    </row>
    <row r="96" spans="1:23" x14ac:dyDescent="0.3">
      <c r="A96">
        <v>95</v>
      </c>
      <c r="B96" t="s">
        <v>370</v>
      </c>
      <c r="C96" t="s">
        <v>179</v>
      </c>
      <c r="D96">
        <v>13</v>
      </c>
      <c r="E96" t="s">
        <v>25</v>
      </c>
      <c r="F96" s="1">
        <v>41368</v>
      </c>
      <c r="G96" s="1">
        <v>41452</v>
      </c>
      <c r="H96">
        <v>2013</v>
      </c>
      <c r="I96">
        <v>7.8</v>
      </c>
      <c r="J96">
        <v>654321</v>
      </c>
      <c r="K96" t="s">
        <v>371</v>
      </c>
      <c r="L96">
        <v>2</v>
      </c>
      <c r="N96" t="s">
        <v>372</v>
      </c>
      <c r="Q96" t="s">
        <v>373</v>
      </c>
      <c r="V96">
        <v>2</v>
      </c>
      <c r="W96" t="s">
        <v>374</v>
      </c>
    </row>
    <row r="97" spans="1:23" x14ac:dyDescent="0.3">
      <c r="A97">
        <v>96</v>
      </c>
      <c r="B97" t="s">
        <v>375</v>
      </c>
      <c r="C97" t="s">
        <v>179</v>
      </c>
      <c r="D97">
        <v>12</v>
      </c>
      <c r="E97" t="s">
        <v>25</v>
      </c>
      <c r="F97" s="1">
        <v>44756</v>
      </c>
      <c r="G97" s="1">
        <v>44833</v>
      </c>
      <c r="H97">
        <v>2022</v>
      </c>
      <c r="I97">
        <v>7.5</v>
      </c>
      <c r="J97">
        <v>543210</v>
      </c>
      <c r="K97" t="s">
        <v>371</v>
      </c>
      <c r="L97">
        <v>2</v>
      </c>
      <c r="N97" t="s">
        <v>372</v>
      </c>
      <c r="V97">
        <v>1</v>
      </c>
      <c r="W97" t="s">
        <v>376</v>
      </c>
    </row>
    <row r="98" spans="1:23" x14ac:dyDescent="0.3">
      <c r="A98">
        <v>97</v>
      </c>
      <c r="B98" t="s">
        <v>377</v>
      </c>
      <c r="C98" t="s">
        <v>179</v>
      </c>
      <c r="D98">
        <v>12</v>
      </c>
      <c r="E98" t="s">
        <v>25</v>
      </c>
      <c r="F98" s="1">
        <v>41738</v>
      </c>
      <c r="G98" s="1">
        <v>41815</v>
      </c>
      <c r="H98">
        <v>2014</v>
      </c>
      <c r="I98">
        <v>8.1</v>
      </c>
      <c r="J98">
        <v>876543</v>
      </c>
      <c r="K98" t="s">
        <v>378</v>
      </c>
      <c r="L98">
        <v>4</v>
      </c>
      <c r="T98" t="s">
        <v>379</v>
      </c>
      <c r="V98">
        <v>1</v>
      </c>
      <c r="W98" t="s">
        <v>380</v>
      </c>
    </row>
    <row r="99" spans="1:23" x14ac:dyDescent="0.3">
      <c r="A99">
        <v>98</v>
      </c>
      <c r="B99" t="s">
        <v>381</v>
      </c>
      <c r="C99" t="s">
        <v>242</v>
      </c>
      <c r="D99">
        <v>1</v>
      </c>
      <c r="E99" t="s">
        <v>25</v>
      </c>
      <c r="F99" s="1">
        <v>42931</v>
      </c>
      <c r="G99" s="1">
        <v>42931</v>
      </c>
      <c r="H99">
        <v>2017</v>
      </c>
      <c r="I99">
        <v>8.4</v>
      </c>
      <c r="J99">
        <v>765432</v>
      </c>
      <c r="K99" t="s">
        <v>382</v>
      </c>
      <c r="L99">
        <v>4</v>
      </c>
      <c r="T99" t="s">
        <v>383</v>
      </c>
      <c r="V99">
        <v>1</v>
      </c>
      <c r="W99" t="s">
        <v>384</v>
      </c>
    </row>
    <row r="100" spans="1:23" x14ac:dyDescent="0.3">
      <c r="A100">
        <v>99</v>
      </c>
      <c r="B100" t="s">
        <v>385</v>
      </c>
      <c r="C100" t="s">
        <v>179</v>
      </c>
      <c r="D100">
        <v>10</v>
      </c>
      <c r="E100" t="s">
        <v>25</v>
      </c>
      <c r="F100" s="1">
        <v>42383</v>
      </c>
      <c r="G100" s="1">
        <v>42446</v>
      </c>
      <c r="H100">
        <v>2016</v>
      </c>
      <c r="I100">
        <v>8</v>
      </c>
      <c r="J100">
        <v>876543</v>
      </c>
      <c r="K100" t="s">
        <v>386</v>
      </c>
      <c r="L100">
        <v>4</v>
      </c>
      <c r="N100" t="s">
        <v>387</v>
      </c>
      <c r="V100">
        <v>1</v>
      </c>
      <c r="W100" t="s">
        <v>388</v>
      </c>
    </row>
    <row r="101" spans="1:23" x14ac:dyDescent="0.3">
      <c r="A101">
        <v>100</v>
      </c>
      <c r="B101" t="s">
        <v>389</v>
      </c>
      <c r="C101" t="s">
        <v>179</v>
      </c>
      <c r="D101">
        <v>10</v>
      </c>
      <c r="E101" t="s">
        <v>25</v>
      </c>
      <c r="F101" s="1">
        <v>42747</v>
      </c>
      <c r="G101" s="1">
        <v>42810</v>
      </c>
      <c r="H101">
        <v>2017</v>
      </c>
      <c r="I101">
        <v>8.1999999999999993</v>
      </c>
      <c r="J101">
        <v>876543</v>
      </c>
      <c r="K101" t="s">
        <v>386</v>
      </c>
      <c r="L101">
        <v>4</v>
      </c>
      <c r="N101" t="s">
        <v>387</v>
      </c>
      <c r="V101">
        <v>1</v>
      </c>
      <c r="W101" t="s">
        <v>390</v>
      </c>
    </row>
    <row r="102" spans="1:23" x14ac:dyDescent="0.3">
      <c r="A102">
        <v>101</v>
      </c>
      <c r="B102" t="s">
        <v>391</v>
      </c>
      <c r="C102" t="s">
        <v>242</v>
      </c>
      <c r="D102">
        <v>1</v>
      </c>
      <c r="E102" t="s">
        <v>25</v>
      </c>
      <c r="F102" s="1">
        <v>43707</v>
      </c>
      <c r="G102" s="1">
        <v>43707</v>
      </c>
      <c r="H102">
        <v>2019</v>
      </c>
      <c r="I102">
        <v>8.4</v>
      </c>
      <c r="J102">
        <v>765432</v>
      </c>
      <c r="K102" t="s">
        <v>386</v>
      </c>
      <c r="L102">
        <v>4</v>
      </c>
      <c r="N102" t="s">
        <v>392</v>
      </c>
      <c r="V102">
        <v>1</v>
      </c>
      <c r="W102" t="s">
        <v>393</v>
      </c>
    </row>
    <row r="103" spans="1:23" x14ac:dyDescent="0.3">
      <c r="A103">
        <v>102</v>
      </c>
      <c r="B103" t="s">
        <v>394</v>
      </c>
      <c r="C103" t="s">
        <v>179</v>
      </c>
      <c r="D103">
        <v>12</v>
      </c>
      <c r="E103" t="s">
        <v>25</v>
      </c>
      <c r="F103" s="1">
        <v>45022</v>
      </c>
      <c r="G103" s="1">
        <v>45099</v>
      </c>
      <c r="H103">
        <v>2023</v>
      </c>
      <c r="I103">
        <v>8.1</v>
      </c>
      <c r="J103">
        <v>654321</v>
      </c>
      <c r="K103" t="s">
        <v>395</v>
      </c>
      <c r="L103">
        <v>3</v>
      </c>
      <c r="N103" t="s">
        <v>396</v>
      </c>
      <c r="V103">
        <v>1</v>
      </c>
      <c r="W103" t="s">
        <v>397</v>
      </c>
    </row>
    <row r="104" spans="1:23" x14ac:dyDescent="0.3">
      <c r="A104">
        <v>103</v>
      </c>
      <c r="B104" t="s">
        <v>398</v>
      </c>
      <c r="C104" t="s">
        <v>179</v>
      </c>
      <c r="D104">
        <v>12</v>
      </c>
      <c r="E104" t="s">
        <v>25</v>
      </c>
      <c r="F104" s="1">
        <v>42741</v>
      </c>
      <c r="G104" s="1">
        <v>42825</v>
      </c>
      <c r="H104">
        <v>2017</v>
      </c>
      <c r="I104">
        <v>7.9</v>
      </c>
      <c r="J104">
        <v>654321</v>
      </c>
      <c r="K104" t="s">
        <v>399</v>
      </c>
      <c r="L104">
        <v>3</v>
      </c>
      <c r="N104" t="s">
        <v>400</v>
      </c>
      <c r="V104">
        <v>1</v>
      </c>
      <c r="W104" t="s">
        <v>401</v>
      </c>
    </row>
    <row r="105" spans="1:23" x14ac:dyDescent="0.3">
      <c r="A105">
        <v>104</v>
      </c>
      <c r="B105" t="s">
        <v>402</v>
      </c>
      <c r="C105" t="s">
        <v>242</v>
      </c>
      <c r="D105">
        <v>1</v>
      </c>
      <c r="E105" t="s">
        <v>25</v>
      </c>
      <c r="F105" s="1">
        <v>43504</v>
      </c>
      <c r="G105" s="1">
        <v>43504</v>
      </c>
      <c r="H105">
        <v>2019</v>
      </c>
      <c r="I105">
        <v>8.1</v>
      </c>
      <c r="J105">
        <v>543210</v>
      </c>
      <c r="K105" t="s">
        <v>399</v>
      </c>
      <c r="L105">
        <v>3</v>
      </c>
      <c r="N105" t="s">
        <v>403</v>
      </c>
      <c r="V105">
        <v>1</v>
      </c>
      <c r="W105" t="s">
        <v>404</v>
      </c>
    </row>
    <row r="106" spans="1:23" x14ac:dyDescent="0.3">
      <c r="A106">
        <v>105</v>
      </c>
      <c r="B106" t="s">
        <v>405</v>
      </c>
      <c r="C106" t="s">
        <v>179</v>
      </c>
      <c r="D106">
        <v>12</v>
      </c>
      <c r="E106" t="s">
        <v>25</v>
      </c>
      <c r="F106" s="1">
        <v>44839</v>
      </c>
      <c r="G106" s="1">
        <v>44916</v>
      </c>
      <c r="H106">
        <v>2022</v>
      </c>
      <c r="I106">
        <v>7.6</v>
      </c>
      <c r="J106">
        <v>432109</v>
      </c>
      <c r="K106" t="s">
        <v>105</v>
      </c>
      <c r="L106">
        <v>3</v>
      </c>
      <c r="T106" t="s">
        <v>406</v>
      </c>
      <c r="V106">
        <v>1</v>
      </c>
      <c r="W106" t="s">
        <v>407</v>
      </c>
    </row>
    <row r="107" spans="1:23" x14ac:dyDescent="0.3">
      <c r="A107">
        <v>106</v>
      </c>
      <c r="B107" t="s">
        <v>408</v>
      </c>
      <c r="C107" t="s">
        <v>179</v>
      </c>
      <c r="D107">
        <v>20</v>
      </c>
      <c r="E107" t="s">
        <v>25</v>
      </c>
      <c r="F107" s="1">
        <v>44839</v>
      </c>
      <c r="G107" s="1">
        <v>44972</v>
      </c>
      <c r="H107">
        <v>2022</v>
      </c>
      <c r="I107">
        <v>8.1999999999999993</v>
      </c>
      <c r="J107">
        <v>543210</v>
      </c>
      <c r="K107" t="s">
        <v>409</v>
      </c>
      <c r="L107">
        <v>3</v>
      </c>
      <c r="T107" t="s">
        <v>410</v>
      </c>
      <c r="V107">
        <v>1</v>
      </c>
      <c r="W107" t="s">
        <v>411</v>
      </c>
    </row>
    <row r="108" spans="1:23" x14ac:dyDescent="0.3">
      <c r="A108">
        <v>107</v>
      </c>
      <c r="B108" t="s">
        <v>412</v>
      </c>
      <c r="C108" t="s">
        <v>179</v>
      </c>
      <c r="D108">
        <v>25</v>
      </c>
      <c r="E108" t="s">
        <v>25</v>
      </c>
      <c r="F108" s="1">
        <v>41552</v>
      </c>
      <c r="G108" s="1">
        <v>41720</v>
      </c>
      <c r="H108">
        <v>2013</v>
      </c>
      <c r="I108">
        <v>7.9</v>
      </c>
      <c r="J108">
        <v>543210</v>
      </c>
      <c r="K108" t="s">
        <v>413</v>
      </c>
      <c r="L108">
        <v>4</v>
      </c>
      <c r="N108" t="s">
        <v>414</v>
      </c>
      <c r="V108">
        <v>1</v>
      </c>
      <c r="W108" t="s">
        <v>415</v>
      </c>
    </row>
    <row r="109" spans="1:23" x14ac:dyDescent="0.3">
      <c r="A109">
        <v>108</v>
      </c>
      <c r="B109" t="s">
        <v>416</v>
      </c>
      <c r="C109" t="s">
        <v>179</v>
      </c>
      <c r="D109">
        <v>25</v>
      </c>
      <c r="E109" t="s">
        <v>25</v>
      </c>
      <c r="F109" s="1">
        <v>41916</v>
      </c>
      <c r="G109" s="1">
        <v>42091</v>
      </c>
      <c r="H109">
        <v>2014</v>
      </c>
      <c r="I109">
        <v>7.7</v>
      </c>
      <c r="J109">
        <v>432109</v>
      </c>
      <c r="K109" t="s">
        <v>413</v>
      </c>
      <c r="L109">
        <v>4</v>
      </c>
      <c r="N109" t="s">
        <v>414</v>
      </c>
      <c r="V109">
        <v>1</v>
      </c>
      <c r="W109" t="s">
        <v>417</v>
      </c>
    </row>
    <row r="110" spans="1:23" x14ac:dyDescent="0.3">
      <c r="A110">
        <v>109</v>
      </c>
      <c r="B110" t="s">
        <v>418</v>
      </c>
      <c r="C110" t="s">
        <v>179</v>
      </c>
      <c r="D110">
        <v>12</v>
      </c>
      <c r="E110" t="s">
        <v>25</v>
      </c>
      <c r="F110" s="1">
        <v>44209</v>
      </c>
      <c r="G110" s="1">
        <v>44286</v>
      </c>
      <c r="H110">
        <v>2021</v>
      </c>
      <c r="I110">
        <v>7.5</v>
      </c>
      <c r="J110">
        <v>321098</v>
      </c>
      <c r="K110" t="s">
        <v>413</v>
      </c>
      <c r="L110">
        <v>4</v>
      </c>
      <c r="N110" t="s">
        <v>414</v>
      </c>
      <c r="V110">
        <v>1</v>
      </c>
      <c r="W110" t="s">
        <v>419</v>
      </c>
    </row>
    <row r="111" spans="1:23" x14ac:dyDescent="0.3">
      <c r="A111">
        <v>110</v>
      </c>
      <c r="B111" t="s">
        <v>420</v>
      </c>
      <c r="C111" t="s">
        <v>179</v>
      </c>
      <c r="D111">
        <v>26</v>
      </c>
      <c r="E111" t="s">
        <v>25</v>
      </c>
      <c r="F111" s="1">
        <v>41735</v>
      </c>
      <c r="G111" s="1">
        <v>41910</v>
      </c>
      <c r="H111">
        <v>2014</v>
      </c>
      <c r="I111">
        <v>7.5</v>
      </c>
      <c r="J111">
        <v>654321</v>
      </c>
      <c r="K111" t="s">
        <v>421</v>
      </c>
      <c r="L111">
        <v>3</v>
      </c>
      <c r="N111" t="s">
        <v>422</v>
      </c>
      <c r="Q111" t="s">
        <v>423</v>
      </c>
      <c r="V111">
        <v>2</v>
      </c>
      <c r="W111" t="s">
        <v>424</v>
      </c>
    </row>
    <row r="112" spans="1:23" x14ac:dyDescent="0.3">
      <c r="A112">
        <v>111</v>
      </c>
      <c r="B112" t="s">
        <v>425</v>
      </c>
      <c r="C112" t="s">
        <v>179</v>
      </c>
      <c r="D112">
        <v>13</v>
      </c>
      <c r="E112" t="s">
        <v>25</v>
      </c>
      <c r="F112" s="1">
        <v>44108</v>
      </c>
      <c r="G112" s="1">
        <v>44192</v>
      </c>
      <c r="H112">
        <v>2020</v>
      </c>
      <c r="I112">
        <v>7.6</v>
      </c>
      <c r="J112">
        <v>543210</v>
      </c>
      <c r="K112" t="s">
        <v>421</v>
      </c>
      <c r="L112">
        <v>3</v>
      </c>
      <c r="N112" t="s">
        <v>422</v>
      </c>
      <c r="V112">
        <v>1</v>
      </c>
      <c r="W112" t="s">
        <v>426</v>
      </c>
    </row>
    <row r="113" spans="1:23" x14ac:dyDescent="0.3">
      <c r="A113">
        <v>112</v>
      </c>
      <c r="B113" t="s">
        <v>427</v>
      </c>
      <c r="C113" t="s">
        <v>428</v>
      </c>
      <c r="D113">
        <v>1</v>
      </c>
      <c r="E113" t="s">
        <v>25</v>
      </c>
      <c r="F113" s="1">
        <v>44561</v>
      </c>
      <c r="G113" s="1">
        <v>44561</v>
      </c>
      <c r="H113">
        <v>2021</v>
      </c>
      <c r="I113">
        <v>7.4</v>
      </c>
      <c r="J113">
        <v>432109</v>
      </c>
      <c r="K113" t="s">
        <v>421</v>
      </c>
      <c r="L113">
        <v>3</v>
      </c>
      <c r="N113" t="s">
        <v>422</v>
      </c>
      <c r="V113">
        <v>1</v>
      </c>
      <c r="W113" t="s">
        <v>429</v>
      </c>
    </row>
    <row r="114" spans="1:23" x14ac:dyDescent="0.3">
      <c r="A114">
        <v>113</v>
      </c>
      <c r="B114" t="s">
        <v>430</v>
      </c>
      <c r="C114" t="s">
        <v>179</v>
      </c>
      <c r="D114">
        <v>12</v>
      </c>
      <c r="E114" t="s">
        <v>25</v>
      </c>
      <c r="F114" s="1">
        <v>42928</v>
      </c>
      <c r="G114" s="1">
        <v>43005</v>
      </c>
      <c r="H114">
        <v>2017</v>
      </c>
      <c r="I114">
        <v>7.9</v>
      </c>
      <c r="J114">
        <v>765432</v>
      </c>
      <c r="K114" t="s">
        <v>431</v>
      </c>
      <c r="L114">
        <v>2</v>
      </c>
      <c r="N114" t="s">
        <v>432</v>
      </c>
      <c r="V114">
        <v>1</v>
      </c>
      <c r="W114" t="s">
        <v>433</v>
      </c>
    </row>
    <row r="115" spans="1:23" x14ac:dyDescent="0.3">
      <c r="A115">
        <v>114</v>
      </c>
      <c r="B115" t="s">
        <v>434</v>
      </c>
      <c r="C115" t="s">
        <v>179</v>
      </c>
      <c r="D115">
        <v>13</v>
      </c>
      <c r="E115" t="s">
        <v>25</v>
      </c>
      <c r="F115" s="1">
        <v>44746</v>
      </c>
      <c r="G115" s="1">
        <v>44830</v>
      </c>
      <c r="H115">
        <v>2022</v>
      </c>
      <c r="I115">
        <v>8.3000000000000007</v>
      </c>
      <c r="J115">
        <v>654321</v>
      </c>
      <c r="K115" t="s">
        <v>431</v>
      </c>
      <c r="L115">
        <v>2</v>
      </c>
      <c r="N115" t="s">
        <v>432</v>
      </c>
      <c r="V115">
        <v>1</v>
      </c>
      <c r="W115" t="s">
        <v>435</v>
      </c>
    </row>
    <row r="116" spans="1:23" x14ac:dyDescent="0.3">
      <c r="A116">
        <v>115</v>
      </c>
      <c r="B116" t="s">
        <v>436</v>
      </c>
      <c r="C116" t="s">
        <v>179</v>
      </c>
      <c r="D116">
        <v>13</v>
      </c>
      <c r="E116" t="s">
        <v>46</v>
      </c>
      <c r="F116" s="1">
        <v>45294</v>
      </c>
      <c r="G116" t="s">
        <v>484</v>
      </c>
      <c r="H116">
        <v>2024</v>
      </c>
      <c r="J116">
        <v>543210</v>
      </c>
      <c r="K116" t="s">
        <v>431</v>
      </c>
      <c r="L116">
        <v>2</v>
      </c>
      <c r="N116" t="s">
        <v>432</v>
      </c>
      <c r="V116">
        <v>1</v>
      </c>
      <c r="W116" t="s">
        <v>437</v>
      </c>
    </row>
    <row r="117" spans="1:23" x14ac:dyDescent="0.3">
      <c r="A117">
        <v>116</v>
      </c>
      <c r="B117" t="s">
        <v>438</v>
      </c>
      <c r="C117" t="s">
        <v>179</v>
      </c>
      <c r="D117">
        <v>13</v>
      </c>
      <c r="E117" t="s">
        <v>25</v>
      </c>
      <c r="F117" s="1">
        <v>44016</v>
      </c>
      <c r="G117" s="1">
        <v>44100</v>
      </c>
      <c r="H117">
        <v>2020</v>
      </c>
      <c r="I117">
        <v>7.8</v>
      </c>
      <c r="J117">
        <v>543210</v>
      </c>
      <c r="K117" t="s">
        <v>439</v>
      </c>
      <c r="L117">
        <v>2</v>
      </c>
      <c r="N117" t="s">
        <v>440</v>
      </c>
      <c r="V117">
        <v>1</v>
      </c>
      <c r="W117" t="s">
        <v>441</v>
      </c>
    </row>
    <row r="118" spans="1:23" x14ac:dyDescent="0.3">
      <c r="A118">
        <v>117</v>
      </c>
      <c r="B118" t="s">
        <v>442</v>
      </c>
      <c r="C118" t="s">
        <v>179</v>
      </c>
      <c r="D118">
        <v>12</v>
      </c>
      <c r="E118" t="s">
        <v>25</v>
      </c>
      <c r="F118" s="1">
        <v>44934</v>
      </c>
      <c r="G118" s="1">
        <v>45018</v>
      </c>
      <c r="H118">
        <v>2023</v>
      </c>
      <c r="I118">
        <v>8.1</v>
      </c>
      <c r="J118">
        <v>432109</v>
      </c>
      <c r="K118" t="s">
        <v>439</v>
      </c>
      <c r="L118">
        <v>2</v>
      </c>
      <c r="N118" t="s">
        <v>440</v>
      </c>
      <c r="V118">
        <v>1</v>
      </c>
      <c r="W118" t="s">
        <v>443</v>
      </c>
    </row>
    <row r="119" spans="1:23" x14ac:dyDescent="0.3">
      <c r="A119">
        <v>118</v>
      </c>
      <c r="B119" t="s">
        <v>444</v>
      </c>
      <c r="C119" t="s">
        <v>24</v>
      </c>
      <c r="D119">
        <v>13</v>
      </c>
      <c r="E119" t="s">
        <v>25</v>
      </c>
      <c r="F119" s="1">
        <v>44206</v>
      </c>
      <c r="G119" s="1">
        <v>44290</v>
      </c>
      <c r="H119">
        <v>2021</v>
      </c>
      <c r="I119">
        <v>8.1999999999999993</v>
      </c>
      <c r="J119">
        <v>876543</v>
      </c>
      <c r="K119" t="s">
        <v>445</v>
      </c>
      <c r="L119">
        <v>3</v>
      </c>
      <c r="N119" t="s">
        <v>446</v>
      </c>
      <c r="Q119" t="s">
        <v>447</v>
      </c>
      <c r="V119">
        <v>2</v>
      </c>
      <c r="W119" t="s">
        <v>448</v>
      </c>
    </row>
    <row r="120" spans="1:23" x14ac:dyDescent="0.3">
      <c r="A120">
        <v>119</v>
      </c>
      <c r="B120" t="s">
        <v>449</v>
      </c>
      <c r="C120" t="s">
        <v>24</v>
      </c>
      <c r="D120">
        <v>22</v>
      </c>
      <c r="E120" t="s">
        <v>25</v>
      </c>
      <c r="F120" s="1">
        <v>41922</v>
      </c>
      <c r="G120" s="1">
        <v>42083</v>
      </c>
      <c r="H120">
        <v>2014</v>
      </c>
      <c r="I120">
        <v>8.6999999999999993</v>
      </c>
      <c r="J120">
        <v>987654</v>
      </c>
      <c r="K120" t="s">
        <v>450</v>
      </c>
      <c r="L120">
        <v>3</v>
      </c>
      <c r="M120" t="s">
        <v>162</v>
      </c>
      <c r="N120" t="s">
        <v>451</v>
      </c>
      <c r="V120">
        <v>2</v>
      </c>
      <c r="W120" t="s">
        <v>452</v>
      </c>
    </row>
    <row r="121" spans="1:23" x14ac:dyDescent="0.3">
      <c r="A121">
        <v>120</v>
      </c>
      <c r="B121" t="s">
        <v>453</v>
      </c>
      <c r="C121" t="s">
        <v>24</v>
      </c>
      <c r="D121">
        <v>20</v>
      </c>
      <c r="E121" t="s">
        <v>25</v>
      </c>
      <c r="F121" s="1">
        <v>45576</v>
      </c>
      <c r="G121" s="1">
        <v>45716</v>
      </c>
      <c r="H121">
        <v>2024</v>
      </c>
      <c r="I121">
        <v>7.9</v>
      </c>
      <c r="J121">
        <v>932109</v>
      </c>
      <c r="K121" t="s">
        <v>35</v>
      </c>
      <c r="L121">
        <v>6</v>
      </c>
      <c r="M121" t="s">
        <v>454</v>
      </c>
      <c r="N121" t="s">
        <v>455</v>
      </c>
      <c r="O121" t="s">
        <v>456</v>
      </c>
      <c r="V121">
        <v>3</v>
      </c>
      <c r="W121" t="s">
        <v>457</v>
      </c>
    </row>
    <row r="122" spans="1:23" x14ac:dyDescent="0.3">
      <c r="A122">
        <v>121</v>
      </c>
      <c r="B122" t="s">
        <v>458</v>
      </c>
      <c r="C122" t="s">
        <v>459</v>
      </c>
      <c r="D122">
        <v>12</v>
      </c>
      <c r="E122" t="s">
        <v>46</v>
      </c>
      <c r="F122" s="1">
        <v>45297</v>
      </c>
      <c r="G122" t="s">
        <v>484</v>
      </c>
      <c r="H122">
        <v>2024</v>
      </c>
      <c r="I122">
        <v>8.5</v>
      </c>
      <c r="J122">
        <v>987654</v>
      </c>
      <c r="K122" t="s">
        <v>105</v>
      </c>
      <c r="L122">
        <v>3</v>
      </c>
      <c r="N122" t="s">
        <v>460</v>
      </c>
      <c r="V122">
        <v>1</v>
      </c>
      <c r="W122" t="s">
        <v>461</v>
      </c>
    </row>
    <row r="123" spans="1:23" x14ac:dyDescent="0.3">
      <c r="A123">
        <v>122</v>
      </c>
      <c r="B123" t="s">
        <v>462</v>
      </c>
      <c r="C123" t="s">
        <v>24</v>
      </c>
      <c r="D123">
        <v>8</v>
      </c>
      <c r="E123" t="s">
        <v>46</v>
      </c>
      <c r="F123" s="1">
        <v>45424</v>
      </c>
      <c r="G123" t="s">
        <v>463</v>
      </c>
      <c r="H123">
        <v>2024</v>
      </c>
      <c r="I123">
        <v>9</v>
      </c>
      <c r="J123">
        <v>3456789</v>
      </c>
      <c r="K123" t="s">
        <v>86</v>
      </c>
      <c r="L123">
        <v>5</v>
      </c>
      <c r="M123" t="s">
        <v>87</v>
      </c>
      <c r="N123" t="s">
        <v>88</v>
      </c>
      <c r="P123" t="s">
        <v>464</v>
      </c>
      <c r="V123">
        <v>3</v>
      </c>
      <c r="W123" t="s">
        <v>465</v>
      </c>
    </row>
    <row r="124" spans="1:23" x14ac:dyDescent="0.3">
      <c r="A124">
        <v>123</v>
      </c>
      <c r="B124" t="s">
        <v>466</v>
      </c>
      <c r="C124" t="s">
        <v>24</v>
      </c>
      <c r="D124">
        <v>51</v>
      </c>
      <c r="E124" t="s">
        <v>25</v>
      </c>
      <c r="F124" s="1">
        <v>37898</v>
      </c>
      <c r="G124" s="1">
        <v>38262</v>
      </c>
      <c r="H124">
        <v>2003</v>
      </c>
      <c r="I124">
        <v>8.6</v>
      </c>
      <c r="J124">
        <v>1500000</v>
      </c>
      <c r="K124" t="s">
        <v>187</v>
      </c>
      <c r="L124">
        <v>4</v>
      </c>
      <c r="N124" t="s">
        <v>467</v>
      </c>
      <c r="P124" t="s">
        <v>468</v>
      </c>
      <c r="Q124" t="s">
        <v>469</v>
      </c>
      <c r="V124">
        <v>3</v>
      </c>
      <c r="W124" t="s">
        <v>470</v>
      </c>
    </row>
    <row r="125" spans="1:23" x14ac:dyDescent="0.3">
      <c r="A125">
        <v>124</v>
      </c>
      <c r="B125" t="s">
        <v>471</v>
      </c>
      <c r="C125" t="s">
        <v>64</v>
      </c>
      <c r="D125">
        <v>74</v>
      </c>
      <c r="E125" t="s">
        <v>25</v>
      </c>
      <c r="F125" s="1">
        <v>38084</v>
      </c>
      <c r="G125" s="1">
        <v>38623</v>
      </c>
      <c r="H125">
        <v>2004</v>
      </c>
      <c r="I125">
        <v>8.9</v>
      </c>
      <c r="J125">
        <v>800000</v>
      </c>
      <c r="K125" t="s">
        <v>472</v>
      </c>
      <c r="L125">
        <v>6</v>
      </c>
      <c r="M125" t="s">
        <v>54</v>
      </c>
      <c r="V125">
        <v>1</v>
      </c>
      <c r="W125" t="s">
        <v>473</v>
      </c>
    </row>
    <row r="126" spans="1:23" x14ac:dyDescent="0.3">
      <c r="A126">
        <v>125</v>
      </c>
      <c r="B126" t="s">
        <v>474</v>
      </c>
      <c r="C126" t="s">
        <v>24</v>
      </c>
      <c r="D126">
        <v>367</v>
      </c>
      <c r="E126" t="s">
        <v>25</v>
      </c>
      <c r="F126" s="1">
        <v>38811</v>
      </c>
      <c r="G126" s="1">
        <v>43381</v>
      </c>
      <c r="H126">
        <v>2006</v>
      </c>
      <c r="I126">
        <v>9</v>
      </c>
      <c r="J126">
        <v>1200000</v>
      </c>
      <c r="K126" t="s">
        <v>475</v>
      </c>
      <c r="L126">
        <v>6</v>
      </c>
      <c r="N126" t="s">
        <v>476</v>
      </c>
      <c r="P126" t="s">
        <v>477</v>
      </c>
      <c r="V126">
        <v>2</v>
      </c>
      <c r="W126" t="s">
        <v>478</v>
      </c>
    </row>
    <row r="127" spans="1:23" x14ac:dyDescent="0.3">
      <c r="A127">
        <v>126</v>
      </c>
      <c r="B127" t="s">
        <v>479</v>
      </c>
      <c r="C127" t="s">
        <v>24</v>
      </c>
      <c r="D127">
        <v>75</v>
      </c>
      <c r="E127" t="s">
        <v>25</v>
      </c>
      <c r="F127" s="1">
        <v>36803</v>
      </c>
      <c r="G127" s="1">
        <v>37342</v>
      </c>
      <c r="H127">
        <v>2000</v>
      </c>
      <c r="I127">
        <v>8.8000000000000007</v>
      </c>
      <c r="J127">
        <v>700000</v>
      </c>
      <c r="K127" t="s">
        <v>480</v>
      </c>
      <c r="L127">
        <v>4</v>
      </c>
      <c r="N127" t="s">
        <v>481</v>
      </c>
      <c r="V127">
        <v>1</v>
      </c>
      <c r="W127" t="s">
        <v>482</v>
      </c>
    </row>
    <row r="128" spans="1:23" x14ac:dyDescent="0.3">
      <c r="A128">
        <v>127</v>
      </c>
      <c r="B128" t="s">
        <v>483</v>
      </c>
      <c r="C128" t="s">
        <v>24</v>
      </c>
      <c r="D128">
        <v>12</v>
      </c>
      <c r="E128" t="s">
        <v>46</v>
      </c>
      <c r="F128" s="1">
        <v>45392</v>
      </c>
      <c r="G128" t="s">
        <v>484</v>
      </c>
      <c r="H128">
        <v>2024</v>
      </c>
      <c r="I128">
        <v>8.5</v>
      </c>
      <c r="J128">
        <v>1234567</v>
      </c>
      <c r="K128" t="s">
        <v>485</v>
      </c>
      <c r="L128">
        <v>4</v>
      </c>
      <c r="N128" t="s">
        <v>486</v>
      </c>
      <c r="V128">
        <v>1</v>
      </c>
      <c r="W128" t="s">
        <v>487</v>
      </c>
    </row>
    <row r="129" spans="1:23" x14ac:dyDescent="0.3">
      <c r="A129">
        <v>128</v>
      </c>
      <c r="B129" t="s">
        <v>488</v>
      </c>
      <c r="C129" t="s">
        <v>489</v>
      </c>
      <c r="D129">
        <v>28</v>
      </c>
      <c r="E129" t="s">
        <v>25</v>
      </c>
      <c r="F129" s="1">
        <v>45198</v>
      </c>
      <c r="G129" s="1">
        <v>45373</v>
      </c>
      <c r="H129">
        <v>2023</v>
      </c>
      <c r="I129">
        <v>9</v>
      </c>
      <c r="J129">
        <v>1897654</v>
      </c>
      <c r="K129" t="s">
        <v>490</v>
      </c>
      <c r="L129">
        <v>3</v>
      </c>
      <c r="N129" t="s">
        <v>491</v>
      </c>
      <c r="V129">
        <v>1</v>
      </c>
      <c r="W129" t="s">
        <v>492</v>
      </c>
    </row>
    <row r="130" spans="1:23" x14ac:dyDescent="0.3">
      <c r="A130">
        <v>129</v>
      </c>
      <c r="B130" t="s">
        <v>493</v>
      </c>
      <c r="C130" t="s">
        <v>494</v>
      </c>
      <c r="D130">
        <v>12</v>
      </c>
      <c r="E130" t="s">
        <v>25</v>
      </c>
      <c r="F130" s="1">
        <v>44933</v>
      </c>
      <c r="G130" s="1">
        <v>45010</v>
      </c>
      <c r="H130">
        <v>2023</v>
      </c>
      <c r="I130">
        <v>8.3000000000000007</v>
      </c>
      <c r="J130">
        <v>987654</v>
      </c>
      <c r="K130" t="s">
        <v>495</v>
      </c>
      <c r="L130">
        <v>3</v>
      </c>
      <c r="N130" t="s">
        <v>496</v>
      </c>
      <c r="V130">
        <v>1</v>
      </c>
      <c r="W130" t="s">
        <v>497</v>
      </c>
    </row>
    <row r="131" spans="1:23" x14ac:dyDescent="0.3">
      <c r="A131">
        <v>130</v>
      </c>
      <c r="B131" t="s">
        <v>498</v>
      </c>
      <c r="C131" t="s">
        <v>494</v>
      </c>
      <c r="D131">
        <v>12</v>
      </c>
      <c r="E131" t="s">
        <v>25</v>
      </c>
      <c r="F131" s="1">
        <v>42282</v>
      </c>
      <c r="G131" s="1">
        <v>42359</v>
      </c>
      <c r="H131">
        <v>2015</v>
      </c>
      <c r="I131">
        <v>8.6999999999999993</v>
      </c>
      <c r="J131">
        <v>4567890</v>
      </c>
      <c r="K131" t="s">
        <v>499</v>
      </c>
      <c r="L131">
        <v>5</v>
      </c>
      <c r="M131" t="s">
        <v>500</v>
      </c>
      <c r="N131" t="s">
        <v>501</v>
      </c>
      <c r="P131" t="s">
        <v>502</v>
      </c>
      <c r="V131">
        <v>3</v>
      </c>
      <c r="W131" t="s">
        <v>503</v>
      </c>
    </row>
    <row r="132" spans="1:23" x14ac:dyDescent="0.3">
      <c r="A132">
        <v>131</v>
      </c>
      <c r="B132" t="s">
        <v>504</v>
      </c>
      <c r="C132" t="s">
        <v>494</v>
      </c>
      <c r="D132">
        <v>12</v>
      </c>
      <c r="E132" t="s">
        <v>25</v>
      </c>
      <c r="F132" s="1">
        <v>43564</v>
      </c>
      <c r="G132" s="1">
        <v>43648</v>
      </c>
      <c r="H132">
        <v>2019</v>
      </c>
      <c r="I132">
        <v>7.9</v>
      </c>
      <c r="J132">
        <v>3456789</v>
      </c>
      <c r="K132" t="s">
        <v>499</v>
      </c>
      <c r="L132">
        <v>5</v>
      </c>
      <c r="N132" t="s">
        <v>501</v>
      </c>
      <c r="P132" t="s">
        <v>502</v>
      </c>
      <c r="V132">
        <v>2</v>
      </c>
      <c r="W132" t="s">
        <v>505</v>
      </c>
    </row>
    <row r="133" spans="1:23" x14ac:dyDescent="0.3">
      <c r="A133">
        <v>132</v>
      </c>
      <c r="B133" t="s">
        <v>506</v>
      </c>
      <c r="C133" t="s">
        <v>494</v>
      </c>
      <c r="D133">
        <v>12</v>
      </c>
      <c r="E133" t="s">
        <v>25</v>
      </c>
      <c r="F133" s="1">
        <v>45395</v>
      </c>
      <c r="G133" s="1">
        <v>45472</v>
      </c>
      <c r="H133">
        <v>2024</v>
      </c>
      <c r="I133">
        <v>8.1999999999999993</v>
      </c>
      <c r="J133">
        <v>2345678</v>
      </c>
      <c r="K133" t="s">
        <v>507</v>
      </c>
      <c r="L133">
        <v>3</v>
      </c>
      <c r="N133" t="s">
        <v>508</v>
      </c>
      <c r="V133">
        <v>1</v>
      </c>
      <c r="W133" t="s">
        <v>509</v>
      </c>
    </row>
    <row r="134" spans="1:23" x14ac:dyDescent="0.3">
      <c r="A134">
        <v>133</v>
      </c>
      <c r="B134" t="s">
        <v>510</v>
      </c>
      <c r="C134" t="s">
        <v>511</v>
      </c>
      <c r="D134">
        <v>82</v>
      </c>
      <c r="E134" t="s">
        <v>25</v>
      </c>
      <c r="F134" s="1">
        <v>35521</v>
      </c>
      <c r="G134" s="1">
        <v>35816</v>
      </c>
      <c r="H134">
        <v>1997</v>
      </c>
      <c r="I134">
        <v>7.5</v>
      </c>
      <c r="J134">
        <v>5678901</v>
      </c>
      <c r="K134" t="s">
        <v>395</v>
      </c>
      <c r="L134">
        <v>3</v>
      </c>
      <c r="M134" t="s">
        <v>54</v>
      </c>
      <c r="U134" t="s">
        <v>512</v>
      </c>
      <c r="V134">
        <v>2</v>
      </c>
      <c r="W134" t="s">
        <v>513</v>
      </c>
    </row>
    <row r="135" spans="1:23" x14ac:dyDescent="0.3">
      <c r="A135">
        <v>134</v>
      </c>
      <c r="B135" t="s">
        <v>514</v>
      </c>
      <c r="C135" t="s">
        <v>494</v>
      </c>
      <c r="D135">
        <v>12</v>
      </c>
      <c r="E135" t="s">
        <v>25</v>
      </c>
      <c r="F135" s="1">
        <v>41824</v>
      </c>
      <c r="G135" s="1">
        <v>41901</v>
      </c>
      <c r="H135">
        <v>2014</v>
      </c>
      <c r="I135">
        <v>8</v>
      </c>
      <c r="J135">
        <v>4500000</v>
      </c>
      <c r="K135" t="s">
        <v>515</v>
      </c>
      <c r="L135">
        <v>5</v>
      </c>
      <c r="N135" t="s">
        <v>516</v>
      </c>
      <c r="P135" t="s">
        <v>517</v>
      </c>
      <c r="Q135" t="s">
        <v>518</v>
      </c>
      <c r="V135">
        <v>3</v>
      </c>
      <c r="W135" t="s">
        <v>519</v>
      </c>
    </row>
    <row r="136" spans="1:23" x14ac:dyDescent="0.3">
      <c r="A136">
        <v>135</v>
      </c>
      <c r="B136" t="s">
        <v>847</v>
      </c>
      <c r="C136" t="s">
        <v>494</v>
      </c>
      <c r="D136">
        <v>12</v>
      </c>
      <c r="E136" t="s">
        <v>25</v>
      </c>
      <c r="F136" s="1">
        <v>42013</v>
      </c>
      <c r="G136" s="1">
        <v>42090</v>
      </c>
      <c r="H136">
        <v>2015</v>
      </c>
      <c r="I136">
        <v>7.5</v>
      </c>
      <c r="J136">
        <v>3800000</v>
      </c>
      <c r="K136" t="s">
        <v>515</v>
      </c>
      <c r="L136">
        <v>5</v>
      </c>
      <c r="N136" t="s">
        <v>516</v>
      </c>
      <c r="P136" t="s">
        <v>517</v>
      </c>
      <c r="Q136" t="s">
        <v>518</v>
      </c>
      <c r="V136">
        <v>3</v>
      </c>
      <c r="W136" t="s">
        <v>519</v>
      </c>
    </row>
    <row r="137" spans="1:23" x14ac:dyDescent="0.3">
      <c r="A137">
        <v>136</v>
      </c>
      <c r="B137" t="s">
        <v>520</v>
      </c>
      <c r="C137" t="s">
        <v>494</v>
      </c>
      <c r="D137">
        <v>12</v>
      </c>
      <c r="E137" t="s">
        <v>25</v>
      </c>
      <c r="F137" s="1">
        <v>43193</v>
      </c>
      <c r="G137" s="1">
        <v>43270</v>
      </c>
      <c r="H137">
        <v>2018</v>
      </c>
      <c r="I137">
        <v>7.2</v>
      </c>
      <c r="J137">
        <v>3200000</v>
      </c>
      <c r="K137" t="s">
        <v>515</v>
      </c>
      <c r="L137">
        <v>5</v>
      </c>
      <c r="N137" t="s">
        <v>521</v>
      </c>
      <c r="Q137" t="s">
        <v>522</v>
      </c>
      <c r="V137">
        <v>2</v>
      </c>
      <c r="W137" t="s">
        <v>523</v>
      </c>
    </row>
    <row r="138" spans="1:23" x14ac:dyDescent="0.3">
      <c r="A138">
        <v>137</v>
      </c>
      <c r="B138" t="s">
        <v>524</v>
      </c>
      <c r="C138" t="s">
        <v>511</v>
      </c>
      <c r="D138">
        <v>24</v>
      </c>
      <c r="E138" t="s">
        <v>25</v>
      </c>
      <c r="F138" s="1">
        <v>41917</v>
      </c>
      <c r="G138" s="1">
        <v>42092</v>
      </c>
      <c r="H138">
        <v>2014</v>
      </c>
      <c r="I138">
        <v>8.1</v>
      </c>
      <c r="J138">
        <v>5000000</v>
      </c>
      <c r="K138" t="s">
        <v>211</v>
      </c>
      <c r="L138">
        <v>4</v>
      </c>
      <c r="M138" t="s">
        <v>162</v>
      </c>
      <c r="N138" t="s">
        <v>525</v>
      </c>
      <c r="V138">
        <v>2</v>
      </c>
      <c r="W138" t="s">
        <v>526</v>
      </c>
    </row>
    <row r="139" spans="1:23" x14ac:dyDescent="0.3">
      <c r="A139">
        <v>138</v>
      </c>
      <c r="B139" t="s">
        <v>527</v>
      </c>
      <c r="C139" t="s">
        <v>511</v>
      </c>
      <c r="D139">
        <v>24</v>
      </c>
      <c r="E139" t="s">
        <v>25</v>
      </c>
      <c r="F139" s="1">
        <v>43113</v>
      </c>
      <c r="G139" s="1">
        <v>43281</v>
      </c>
      <c r="H139">
        <v>2018</v>
      </c>
      <c r="I139">
        <v>7.8</v>
      </c>
      <c r="J139">
        <v>4200000</v>
      </c>
      <c r="K139" t="s">
        <v>211</v>
      </c>
      <c r="L139">
        <v>4</v>
      </c>
      <c r="M139" t="s">
        <v>162</v>
      </c>
      <c r="N139" t="s">
        <v>525</v>
      </c>
      <c r="V139">
        <v>2</v>
      </c>
      <c r="W139" t="s">
        <v>528</v>
      </c>
    </row>
    <row r="140" spans="1:23" x14ac:dyDescent="0.3">
      <c r="A140">
        <v>139</v>
      </c>
      <c r="B140" t="s">
        <v>529</v>
      </c>
      <c r="C140" t="s">
        <v>511</v>
      </c>
      <c r="D140">
        <v>25</v>
      </c>
      <c r="E140" t="s">
        <v>25</v>
      </c>
      <c r="F140" s="1">
        <v>41189</v>
      </c>
      <c r="G140" s="1">
        <v>41364</v>
      </c>
      <c r="H140">
        <v>2012</v>
      </c>
      <c r="I140">
        <v>8.1999999999999993</v>
      </c>
      <c r="J140">
        <v>3500000</v>
      </c>
      <c r="K140" t="s">
        <v>530</v>
      </c>
      <c r="L140">
        <v>4</v>
      </c>
      <c r="M140" t="s">
        <v>54</v>
      </c>
      <c r="N140" t="s">
        <v>531</v>
      </c>
      <c r="V140">
        <v>2</v>
      </c>
      <c r="W140" t="s">
        <v>532</v>
      </c>
    </row>
    <row r="141" spans="1:23" x14ac:dyDescent="0.3">
      <c r="A141">
        <v>140</v>
      </c>
      <c r="B141" t="s">
        <v>533</v>
      </c>
      <c r="C141" t="s">
        <v>511</v>
      </c>
      <c r="D141">
        <v>25</v>
      </c>
      <c r="E141" t="s">
        <v>25</v>
      </c>
      <c r="F141" s="1">
        <v>41553</v>
      </c>
      <c r="G141" s="1">
        <v>41728</v>
      </c>
      <c r="H141">
        <v>2013</v>
      </c>
      <c r="I141">
        <v>8.3000000000000007</v>
      </c>
      <c r="J141">
        <v>3200000</v>
      </c>
      <c r="K141" t="s">
        <v>530</v>
      </c>
      <c r="L141">
        <v>4</v>
      </c>
      <c r="M141" t="s">
        <v>54</v>
      </c>
      <c r="N141" t="s">
        <v>531</v>
      </c>
      <c r="V141">
        <v>2</v>
      </c>
      <c r="W141" t="s">
        <v>534</v>
      </c>
    </row>
    <row r="142" spans="1:23" x14ac:dyDescent="0.3">
      <c r="A142">
        <v>141</v>
      </c>
      <c r="B142" t="s">
        <v>535</v>
      </c>
      <c r="C142" t="s">
        <v>494</v>
      </c>
      <c r="D142">
        <v>103</v>
      </c>
      <c r="E142" t="s">
        <v>25</v>
      </c>
      <c r="F142" s="1">
        <v>38993</v>
      </c>
      <c r="G142" s="1">
        <v>39721</v>
      </c>
      <c r="H142">
        <v>2006</v>
      </c>
      <c r="I142">
        <v>8</v>
      </c>
      <c r="J142">
        <v>2800000</v>
      </c>
      <c r="K142" t="s">
        <v>536</v>
      </c>
      <c r="L142">
        <v>6</v>
      </c>
      <c r="N142" t="s">
        <v>537</v>
      </c>
      <c r="Q142" t="s">
        <v>538</v>
      </c>
      <c r="V142">
        <v>2</v>
      </c>
      <c r="W142" t="s">
        <v>539</v>
      </c>
    </row>
    <row r="143" spans="1:23" x14ac:dyDescent="0.3">
      <c r="A143">
        <v>142</v>
      </c>
      <c r="B143" t="s">
        <v>540</v>
      </c>
      <c r="C143" t="s">
        <v>494</v>
      </c>
      <c r="D143">
        <v>13</v>
      </c>
      <c r="E143" t="s">
        <v>25</v>
      </c>
      <c r="F143" s="1">
        <v>42556</v>
      </c>
      <c r="G143" s="1">
        <v>42640</v>
      </c>
      <c r="H143">
        <v>2016</v>
      </c>
      <c r="I143">
        <v>7.8</v>
      </c>
      <c r="J143">
        <v>2000000</v>
      </c>
      <c r="K143" t="s">
        <v>536</v>
      </c>
      <c r="L143">
        <v>6</v>
      </c>
      <c r="N143" t="s">
        <v>537</v>
      </c>
      <c r="Q143" t="s">
        <v>541</v>
      </c>
      <c r="V143">
        <v>2</v>
      </c>
      <c r="W143" t="s">
        <v>542</v>
      </c>
    </row>
    <row r="144" spans="1:23" x14ac:dyDescent="0.3">
      <c r="A144">
        <v>143</v>
      </c>
      <c r="B144" t="s">
        <v>543</v>
      </c>
      <c r="C144" t="s">
        <v>494</v>
      </c>
      <c r="D144">
        <v>24</v>
      </c>
      <c r="E144" t="s">
        <v>25</v>
      </c>
      <c r="F144" s="1">
        <v>41827</v>
      </c>
      <c r="G144" s="1">
        <v>41988</v>
      </c>
      <c r="H144">
        <v>2014</v>
      </c>
      <c r="I144">
        <v>7.7</v>
      </c>
      <c r="J144">
        <v>4000000</v>
      </c>
      <c r="K144" t="s">
        <v>187</v>
      </c>
      <c r="L144">
        <v>4</v>
      </c>
      <c r="N144" t="s">
        <v>544</v>
      </c>
      <c r="P144" t="s">
        <v>545</v>
      </c>
      <c r="V144">
        <v>2</v>
      </c>
      <c r="W144" t="s">
        <v>546</v>
      </c>
    </row>
    <row r="145" spans="1:23" x14ac:dyDescent="0.3">
      <c r="A145">
        <v>144</v>
      </c>
      <c r="B145" t="s">
        <v>547</v>
      </c>
      <c r="C145" t="s">
        <v>548</v>
      </c>
      <c r="D145">
        <v>26</v>
      </c>
      <c r="E145" t="s">
        <v>25</v>
      </c>
      <c r="F145" s="1">
        <v>38812</v>
      </c>
      <c r="G145" s="1">
        <v>38987</v>
      </c>
      <c r="H145">
        <v>2006</v>
      </c>
      <c r="I145">
        <v>8.1</v>
      </c>
      <c r="J145">
        <v>2500000</v>
      </c>
      <c r="K145" t="s">
        <v>549</v>
      </c>
      <c r="L145">
        <v>5</v>
      </c>
      <c r="N145" t="s">
        <v>550</v>
      </c>
      <c r="T145" t="s">
        <v>551</v>
      </c>
      <c r="V145">
        <v>2</v>
      </c>
      <c r="W145" t="s">
        <v>552</v>
      </c>
    </row>
    <row r="146" spans="1:23" x14ac:dyDescent="0.3">
      <c r="A146">
        <v>145</v>
      </c>
      <c r="B146" t="s">
        <v>553</v>
      </c>
      <c r="C146" t="s">
        <v>548</v>
      </c>
      <c r="D146">
        <v>24</v>
      </c>
      <c r="E146" t="s">
        <v>25</v>
      </c>
      <c r="F146" s="1">
        <v>39269</v>
      </c>
      <c r="G146" s="1">
        <v>39437</v>
      </c>
      <c r="H146">
        <v>2007</v>
      </c>
      <c r="I146">
        <v>8.4</v>
      </c>
      <c r="J146">
        <v>2200000</v>
      </c>
      <c r="K146" t="s">
        <v>549</v>
      </c>
      <c r="L146">
        <v>5</v>
      </c>
      <c r="N146" t="s">
        <v>550</v>
      </c>
      <c r="T146" t="s">
        <v>554</v>
      </c>
      <c r="V146">
        <v>2</v>
      </c>
      <c r="W146" t="s">
        <v>555</v>
      </c>
    </row>
    <row r="147" spans="1:23" x14ac:dyDescent="0.3">
      <c r="A147">
        <v>146</v>
      </c>
      <c r="B147" t="s">
        <v>556</v>
      </c>
      <c r="C147" t="s">
        <v>557</v>
      </c>
      <c r="D147">
        <v>13</v>
      </c>
      <c r="E147" t="s">
        <v>25</v>
      </c>
      <c r="F147" s="1">
        <v>38020</v>
      </c>
      <c r="G147" s="1">
        <v>38125</v>
      </c>
      <c r="H147">
        <v>2004</v>
      </c>
      <c r="I147">
        <v>8.1999999999999993</v>
      </c>
      <c r="J147">
        <v>1800000</v>
      </c>
      <c r="K147" t="s">
        <v>125</v>
      </c>
      <c r="L147">
        <v>4</v>
      </c>
      <c r="Q147" t="s">
        <v>558</v>
      </c>
      <c r="V147">
        <v>1</v>
      </c>
      <c r="W147" t="s">
        <v>559</v>
      </c>
    </row>
    <row r="148" spans="1:23" x14ac:dyDescent="0.3">
      <c r="A148">
        <v>147</v>
      </c>
      <c r="B148" t="s">
        <v>560</v>
      </c>
      <c r="C148" t="s">
        <v>561</v>
      </c>
      <c r="D148">
        <v>22</v>
      </c>
      <c r="E148" t="s">
        <v>25</v>
      </c>
      <c r="F148" s="1">
        <v>37728</v>
      </c>
      <c r="G148" s="1">
        <v>37896</v>
      </c>
      <c r="H148">
        <v>2003</v>
      </c>
      <c r="I148">
        <v>8</v>
      </c>
      <c r="J148">
        <v>900000</v>
      </c>
      <c r="K148" t="s">
        <v>562</v>
      </c>
      <c r="L148">
        <v>4</v>
      </c>
      <c r="Q148" t="s">
        <v>563</v>
      </c>
      <c r="V148">
        <v>1</v>
      </c>
      <c r="W148" t="s">
        <v>564</v>
      </c>
    </row>
    <row r="149" spans="1:23" x14ac:dyDescent="0.3">
      <c r="A149">
        <v>148</v>
      </c>
      <c r="B149" t="s">
        <v>565</v>
      </c>
      <c r="C149" t="s">
        <v>566</v>
      </c>
      <c r="D149">
        <v>47</v>
      </c>
      <c r="E149" t="s">
        <v>25</v>
      </c>
      <c r="F149" s="1">
        <v>38812</v>
      </c>
      <c r="G149" s="1">
        <v>39169</v>
      </c>
      <c r="H149">
        <v>2006</v>
      </c>
      <c r="I149">
        <v>8.5</v>
      </c>
      <c r="J149">
        <v>3000000</v>
      </c>
      <c r="K149" t="s">
        <v>567</v>
      </c>
      <c r="L149">
        <v>4</v>
      </c>
      <c r="N149" t="s">
        <v>568</v>
      </c>
      <c r="T149" t="s">
        <v>569</v>
      </c>
      <c r="V149">
        <v>2</v>
      </c>
      <c r="W149" t="s">
        <v>570</v>
      </c>
    </row>
    <row r="150" spans="1:23" x14ac:dyDescent="0.3">
      <c r="A150">
        <v>149</v>
      </c>
      <c r="B150" t="s">
        <v>571</v>
      </c>
      <c r="C150" t="s">
        <v>566</v>
      </c>
      <c r="D150">
        <v>11</v>
      </c>
      <c r="E150" t="s">
        <v>25</v>
      </c>
      <c r="F150" s="1">
        <v>45028</v>
      </c>
      <c r="G150" s="1">
        <v>45105</v>
      </c>
      <c r="H150">
        <v>2023</v>
      </c>
      <c r="I150">
        <v>8.8000000000000007</v>
      </c>
      <c r="J150">
        <v>5000000</v>
      </c>
      <c r="K150" t="s">
        <v>572</v>
      </c>
      <c r="L150">
        <v>2</v>
      </c>
      <c r="N150" t="s">
        <v>573</v>
      </c>
      <c r="T150" t="s">
        <v>574</v>
      </c>
      <c r="V150">
        <v>2</v>
      </c>
      <c r="W150" t="s">
        <v>575</v>
      </c>
    </row>
    <row r="151" spans="1:23" x14ac:dyDescent="0.3">
      <c r="A151">
        <v>150</v>
      </c>
      <c r="B151" t="s">
        <v>576</v>
      </c>
      <c r="C151" t="s">
        <v>511</v>
      </c>
      <c r="D151">
        <v>23</v>
      </c>
      <c r="E151" t="s">
        <v>25</v>
      </c>
      <c r="F151" s="1">
        <v>44484</v>
      </c>
      <c r="G151" s="1">
        <v>44645</v>
      </c>
      <c r="H151">
        <v>2021</v>
      </c>
      <c r="I151">
        <v>8.6999999999999993</v>
      </c>
      <c r="J151">
        <v>4500000</v>
      </c>
      <c r="K151" t="s">
        <v>577</v>
      </c>
      <c r="L151">
        <v>2</v>
      </c>
      <c r="N151" t="s">
        <v>578</v>
      </c>
      <c r="Q151" t="s">
        <v>579</v>
      </c>
      <c r="V151">
        <v>2</v>
      </c>
      <c r="W151" t="s">
        <v>580</v>
      </c>
    </row>
    <row r="152" spans="1:23" x14ac:dyDescent="0.3">
      <c r="A152">
        <v>151</v>
      </c>
      <c r="B152" t="s">
        <v>581</v>
      </c>
      <c r="C152" t="s">
        <v>566</v>
      </c>
      <c r="D152">
        <v>24</v>
      </c>
      <c r="E152" t="s">
        <v>25</v>
      </c>
      <c r="F152" s="1">
        <v>39724</v>
      </c>
      <c r="G152" s="1">
        <v>39899</v>
      </c>
      <c r="H152">
        <v>2008</v>
      </c>
      <c r="I152">
        <v>9</v>
      </c>
      <c r="J152">
        <v>3500000</v>
      </c>
      <c r="K152" t="s">
        <v>582</v>
      </c>
      <c r="L152">
        <v>4</v>
      </c>
      <c r="N152" t="s">
        <v>583</v>
      </c>
      <c r="T152" t="s">
        <v>584</v>
      </c>
      <c r="V152">
        <v>2</v>
      </c>
      <c r="W152" t="s">
        <v>585</v>
      </c>
    </row>
    <row r="153" spans="1:23" x14ac:dyDescent="0.3">
      <c r="A153">
        <v>152</v>
      </c>
      <c r="B153" t="s">
        <v>586</v>
      </c>
      <c r="C153" t="s">
        <v>566</v>
      </c>
      <c r="D153">
        <v>25</v>
      </c>
      <c r="E153" t="s">
        <v>25</v>
      </c>
      <c r="F153" s="1">
        <v>43561</v>
      </c>
      <c r="G153" s="1">
        <v>43729</v>
      </c>
      <c r="H153">
        <v>2019</v>
      </c>
      <c r="I153">
        <v>8.5</v>
      </c>
      <c r="J153">
        <v>4000000</v>
      </c>
      <c r="K153" t="s">
        <v>587</v>
      </c>
      <c r="L153">
        <v>5</v>
      </c>
      <c r="N153" t="s">
        <v>588</v>
      </c>
      <c r="Q153" t="s">
        <v>589</v>
      </c>
      <c r="V153">
        <v>2</v>
      </c>
      <c r="W153" t="s">
        <v>590</v>
      </c>
    </row>
    <row r="154" spans="1:23" x14ac:dyDescent="0.3">
      <c r="A154">
        <v>153</v>
      </c>
      <c r="B154" t="s">
        <v>591</v>
      </c>
      <c r="C154" t="s">
        <v>566</v>
      </c>
      <c r="D154">
        <v>13</v>
      </c>
      <c r="E154" t="s">
        <v>25</v>
      </c>
      <c r="F154" s="1">
        <v>44292</v>
      </c>
      <c r="G154" s="1">
        <v>44376</v>
      </c>
      <c r="H154">
        <v>2021</v>
      </c>
      <c r="I154">
        <v>9.1</v>
      </c>
      <c r="J154">
        <v>3800000</v>
      </c>
      <c r="K154" t="s">
        <v>592</v>
      </c>
      <c r="L154">
        <v>4</v>
      </c>
      <c r="N154" t="s">
        <v>593</v>
      </c>
      <c r="Q154" t="s">
        <v>594</v>
      </c>
      <c r="V154">
        <v>2</v>
      </c>
      <c r="W154" t="s">
        <v>595</v>
      </c>
    </row>
    <row r="155" spans="1:23" x14ac:dyDescent="0.3">
      <c r="A155">
        <v>154</v>
      </c>
      <c r="B155" t="s">
        <v>596</v>
      </c>
      <c r="C155" t="s">
        <v>566</v>
      </c>
      <c r="D155">
        <v>11</v>
      </c>
      <c r="E155" t="s">
        <v>25</v>
      </c>
      <c r="F155" s="1">
        <v>40648</v>
      </c>
      <c r="G155" s="1">
        <v>40718</v>
      </c>
      <c r="H155">
        <v>2011</v>
      </c>
      <c r="I155">
        <v>8.4</v>
      </c>
      <c r="J155">
        <v>3000000</v>
      </c>
      <c r="K155" t="s">
        <v>572</v>
      </c>
      <c r="L155">
        <v>2</v>
      </c>
      <c r="M155" t="s">
        <v>597</v>
      </c>
      <c r="N155" t="s">
        <v>598</v>
      </c>
      <c r="V155">
        <v>2</v>
      </c>
      <c r="W155" t="s">
        <v>599</v>
      </c>
    </row>
    <row r="156" spans="1:23" x14ac:dyDescent="0.3">
      <c r="A156">
        <v>155</v>
      </c>
      <c r="B156" t="s">
        <v>600</v>
      </c>
      <c r="C156" t="s">
        <v>64</v>
      </c>
      <c r="D156">
        <v>13</v>
      </c>
      <c r="E156" t="s">
        <v>25</v>
      </c>
      <c r="F156" s="1">
        <v>43111</v>
      </c>
      <c r="G156" s="1">
        <v>43195</v>
      </c>
      <c r="H156">
        <v>2018</v>
      </c>
      <c r="I156">
        <v>8.9</v>
      </c>
      <c r="J156">
        <v>4200000</v>
      </c>
      <c r="K156" t="s">
        <v>601</v>
      </c>
      <c r="L156">
        <v>3</v>
      </c>
      <c r="M156" t="s">
        <v>602</v>
      </c>
      <c r="V156">
        <v>1</v>
      </c>
      <c r="W156" t="s">
        <v>603</v>
      </c>
    </row>
    <row r="157" spans="1:23" x14ac:dyDescent="0.3">
      <c r="A157">
        <v>156</v>
      </c>
      <c r="B157" t="s">
        <v>604</v>
      </c>
      <c r="C157" t="s">
        <v>64</v>
      </c>
      <c r="D157">
        <v>10</v>
      </c>
      <c r="E157" t="s">
        <v>25</v>
      </c>
      <c r="F157" s="1">
        <v>44817</v>
      </c>
      <c r="G157" t="s">
        <v>484</v>
      </c>
      <c r="H157">
        <v>2022</v>
      </c>
      <c r="I157">
        <v>8.5</v>
      </c>
      <c r="J157">
        <v>3500000</v>
      </c>
      <c r="K157" t="s">
        <v>605</v>
      </c>
      <c r="L157">
        <v>3</v>
      </c>
      <c r="M157" t="s">
        <v>606</v>
      </c>
      <c r="V157">
        <v>1</v>
      </c>
      <c r="W157" t="s">
        <v>607</v>
      </c>
    </row>
    <row r="158" spans="1:23" x14ac:dyDescent="0.3">
      <c r="A158">
        <v>157</v>
      </c>
      <c r="B158" t="s">
        <v>608</v>
      </c>
      <c r="C158" t="s">
        <v>64</v>
      </c>
      <c r="D158">
        <v>12</v>
      </c>
      <c r="E158" t="s">
        <v>25</v>
      </c>
      <c r="F158" s="1">
        <v>39247</v>
      </c>
      <c r="G158" s="1">
        <v>39317</v>
      </c>
      <c r="H158">
        <v>2007</v>
      </c>
      <c r="I158">
        <v>7.2</v>
      </c>
      <c r="J158">
        <v>1200000</v>
      </c>
      <c r="K158" t="s">
        <v>609</v>
      </c>
      <c r="L158">
        <v>3</v>
      </c>
      <c r="N158" t="s">
        <v>610</v>
      </c>
      <c r="V158">
        <v>1</v>
      </c>
      <c r="W158" t="s">
        <v>611</v>
      </c>
    </row>
    <row r="159" spans="1:23" x14ac:dyDescent="0.3">
      <c r="A159">
        <v>158</v>
      </c>
      <c r="B159" t="s">
        <v>612</v>
      </c>
      <c r="C159" t="s">
        <v>64</v>
      </c>
      <c r="D159">
        <v>9</v>
      </c>
      <c r="E159" t="s">
        <v>25</v>
      </c>
      <c r="F159" s="1">
        <v>44506</v>
      </c>
      <c r="G159" s="1">
        <v>44520</v>
      </c>
      <c r="H159">
        <v>2021</v>
      </c>
      <c r="I159">
        <v>9.1</v>
      </c>
      <c r="J159">
        <v>5000000</v>
      </c>
      <c r="K159" t="s">
        <v>613</v>
      </c>
      <c r="L159">
        <v>3</v>
      </c>
      <c r="M159" t="s">
        <v>614</v>
      </c>
      <c r="V159">
        <v>1</v>
      </c>
      <c r="W159" t="s">
        <v>615</v>
      </c>
    </row>
    <row r="160" spans="1:23" x14ac:dyDescent="0.3">
      <c r="A160">
        <v>159</v>
      </c>
      <c r="B160" t="s">
        <v>616</v>
      </c>
      <c r="C160" t="s">
        <v>617</v>
      </c>
      <c r="D160">
        <v>293</v>
      </c>
      <c r="E160" t="s">
        <v>46</v>
      </c>
      <c r="F160" s="1">
        <v>42830</v>
      </c>
      <c r="G160" t="s">
        <v>484</v>
      </c>
      <c r="H160">
        <v>2017</v>
      </c>
      <c r="I160">
        <v>6.5</v>
      </c>
      <c r="J160">
        <v>4500000</v>
      </c>
      <c r="K160" t="s">
        <v>618</v>
      </c>
      <c r="L160">
        <v>3</v>
      </c>
      <c r="N160" t="s">
        <v>619</v>
      </c>
      <c r="V160">
        <v>1</v>
      </c>
      <c r="W160" t="s">
        <v>620</v>
      </c>
    </row>
    <row r="161" spans="1:23" x14ac:dyDescent="0.3">
      <c r="A161">
        <v>160</v>
      </c>
      <c r="B161" t="s">
        <v>621</v>
      </c>
      <c r="C161" t="s">
        <v>617</v>
      </c>
      <c r="D161">
        <v>24</v>
      </c>
      <c r="E161" t="s">
        <v>25</v>
      </c>
      <c r="F161" s="1">
        <v>39724</v>
      </c>
      <c r="G161" s="1">
        <v>39899</v>
      </c>
      <c r="H161">
        <v>2008</v>
      </c>
      <c r="I161">
        <v>8</v>
      </c>
      <c r="J161">
        <v>2800000</v>
      </c>
      <c r="K161" t="s">
        <v>303</v>
      </c>
      <c r="L161">
        <v>3</v>
      </c>
      <c r="M161" t="s">
        <v>622</v>
      </c>
      <c r="N161" t="s">
        <v>623</v>
      </c>
      <c r="V161">
        <v>2</v>
      </c>
      <c r="W161" t="s">
        <v>624</v>
      </c>
    </row>
    <row r="162" spans="1:23" x14ac:dyDescent="0.3">
      <c r="A162">
        <v>161</v>
      </c>
      <c r="B162" t="s">
        <v>625</v>
      </c>
      <c r="C162" t="s">
        <v>64</v>
      </c>
      <c r="D162">
        <v>1</v>
      </c>
      <c r="E162" t="s">
        <v>25</v>
      </c>
      <c r="F162" s="1">
        <v>37904</v>
      </c>
      <c r="G162" t="s">
        <v>484</v>
      </c>
      <c r="H162">
        <v>2003</v>
      </c>
      <c r="I162">
        <v>8.3000000000000007</v>
      </c>
      <c r="J162">
        <v>1800000</v>
      </c>
      <c r="K162" t="s">
        <v>626</v>
      </c>
      <c r="L162">
        <v>3</v>
      </c>
      <c r="O162" t="s">
        <v>627</v>
      </c>
      <c r="V162">
        <v>1</v>
      </c>
      <c r="W162" t="s">
        <v>628</v>
      </c>
    </row>
    <row r="163" spans="1:23" x14ac:dyDescent="0.3">
      <c r="A163">
        <v>162</v>
      </c>
      <c r="B163" t="s">
        <v>629</v>
      </c>
      <c r="C163" t="s">
        <v>64</v>
      </c>
      <c r="D163">
        <v>1</v>
      </c>
      <c r="E163" t="s">
        <v>25</v>
      </c>
      <c r="F163" s="1">
        <v>35621</v>
      </c>
      <c r="G163" t="s">
        <v>484</v>
      </c>
      <c r="H163">
        <v>1997</v>
      </c>
      <c r="I163">
        <v>8.6999999999999993</v>
      </c>
      <c r="J163">
        <v>1500000</v>
      </c>
      <c r="K163" t="s">
        <v>630</v>
      </c>
      <c r="L163">
        <v>3</v>
      </c>
      <c r="O163" t="s">
        <v>631</v>
      </c>
      <c r="V163">
        <v>1</v>
      </c>
      <c r="W163" t="s">
        <v>632</v>
      </c>
    </row>
    <row r="164" spans="1:23" x14ac:dyDescent="0.3">
      <c r="A164">
        <v>163</v>
      </c>
      <c r="B164" t="s">
        <v>633</v>
      </c>
      <c r="C164" t="s">
        <v>64</v>
      </c>
      <c r="D164">
        <v>26</v>
      </c>
      <c r="E164" t="s">
        <v>25</v>
      </c>
      <c r="F164" s="1">
        <v>38127</v>
      </c>
      <c r="G164" s="1">
        <v>38430</v>
      </c>
      <c r="H164">
        <v>2004</v>
      </c>
      <c r="I164">
        <v>8.5</v>
      </c>
      <c r="J164">
        <v>1100000</v>
      </c>
      <c r="K164" t="s">
        <v>634</v>
      </c>
      <c r="L164">
        <v>5</v>
      </c>
      <c r="N164" t="s">
        <v>635</v>
      </c>
      <c r="P164" t="s">
        <v>636</v>
      </c>
      <c r="Q164" t="s">
        <v>637</v>
      </c>
      <c r="V164">
        <v>3</v>
      </c>
      <c r="W164" t="s">
        <v>638</v>
      </c>
    </row>
    <row r="165" spans="1:23" x14ac:dyDescent="0.3">
      <c r="A165">
        <v>164</v>
      </c>
      <c r="B165" t="s">
        <v>639</v>
      </c>
      <c r="C165" t="s">
        <v>64</v>
      </c>
      <c r="D165">
        <v>26</v>
      </c>
      <c r="E165" t="s">
        <v>25</v>
      </c>
      <c r="F165" s="1">
        <v>35887</v>
      </c>
      <c r="G165" s="1">
        <v>36069</v>
      </c>
      <c r="H165">
        <v>1998</v>
      </c>
      <c r="I165">
        <v>8.1999999999999993</v>
      </c>
      <c r="J165">
        <v>950000</v>
      </c>
      <c r="K165" t="s">
        <v>640</v>
      </c>
      <c r="L165">
        <v>5</v>
      </c>
      <c r="N165" t="s">
        <v>641</v>
      </c>
      <c r="Q165" t="s">
        <v>642</v>
      </c>
      <c r="V165">
        <v>2</v>
      </c>
      <c r="W165" t="s">
        <v>643</v>
      </c>
    </row>
    <row r="166" spans="1:23" x14ac:dyDescent="0.3">
      <c r="A166">
        <v>165</v>
      </c>
      <c r="B166" t="s">
        <v>644</v>
      </c>
      <c r="C166" t="s">
        <v>242</v>
      </c>
      <c r="D166">
        <v>1</v>
      </c>
      <c r="E166" t="s">
        <v>25</v>
      </c>
      <c r="F166" s="1">
        <v>32340</v>
      </c>
      <c r="G166" s="1">
        <v>32340</v>
      </c>
      <c r="H166">
        <v>1988</v>
      </c>
      <c r="I166">
        <v>8.1</v>
      </c>
      <c r="J166">
        <v>1300000</v>
      </c>
      <c r="K166" t="s">
        <v>645</v>
      </c>
      <c r="L166">
        <v>5</v>
      </c>
      <c r="M166" t="s">
        <v>646</v>
      </c>
      <c r="N166" t="s">
        <v>647</v>
      </c>
      <c r="P166" t="s">
        <v>648</v>
      </c>
      <c r="Q166" t="s">
        <v>649</v>
      </c>
      <c r="V166">
        <v>4</v>
      </c>
      <c r="W166" t="s">
        <v>650</v>
      </c>
    </row>
    <row r="167" spans="1:23" x14ac:dyDescent="0.3">
      <c r="A167">
        <v>166</v>
      </c>
      <c r="B167" t="s">
        <v>651</v>
      </c>
      <c r="C167" t="s">
        <v>242</v>
      </c>
      <c r="D167">
        <v>1</v>
      </c>
      <c r="E167" t="s">
        <v>25</v>
      </c>
      <c r="F167" s="1">
        <v>37092</v>
      </c>
      <c r="G167" s="1">
        <v>37092</v>
      </c>
      <c r="H167">
        <v>2001</v>
      </c>
      <c r="I167">
        <v>8.8000000000000007</v>
      </c>
      <c r="J167">
        <v>2000000</v>
      </c>
      <c r="K167" t="s">
        <v>652</v>
      </c>
      <c r="L167">
        <v>3</v>
      </c>
      <c r="M167" t="s">
        <v>653</v>
      </c>
      <c r="S167" t="s">
        <v>654</v>
      </c>
      <c r="V167">
        <v>2</v>
      </c>
      <c r="W167" t="s">
        <v>655</v>
      </c>
    </row>
    <row r="168" spans="1:23" x14ac:dyDescent="0.3">
      <c r="A168">
        <v>167</v>
      </c>
      <c r="B168" t="s">
        <v>656</v>
      </c>
      <c r="C168" t="s">
        <v>242</v>
      </c>
      <c r="D168">
        <v>1</v>
      </c>
      <c r="E168" t="s">
        <v>25</v>
      </c>
      <c r="F168" s="1">
        <v>35623</v>
      </c>
      <c r="G168" s="1">
        <v>35623</v>
      </c>
      <c r="H168">
        <v>1997</v>
      </c>
      <c r="I168">
        <v>8.6999999999999993</v>
      </c>
      <c r="J168">
        <v>1800000</v>
      </c>
      <c r="K168" t="s">
        <v>657</v>
      </c>
      <c r="L168">
        <v>5</v>
      </c>
      <c r="M168" t="s">
        <v>658</v>
      </c>
      <c r="S168" t="s">
        <v>659</v>
      </c>
      <c r="V168">
        <v>2</v>
      </c>
      <c r="W168" t="s">
        <v>660</v>
      </c>
    </row>
    <row r="169" spans="1:23" x14ac:dyDescent="0.3">
      <c r="A169">
        <v>168</v>
      </c>
      <c r="B169" t="s">
        <v>661</v>
      </c>
      <c r="C169" t="s">
        <v>242</v>
      </c>
      <c r="D169">
        <v>1</v>
      </c>
      <c r="E169" t="s">
        <v>25</v>
      </c>
      <c r="F169" s="1">
        <v>35021</v>
      </c>
      <c r="G169" s="1">
        <v>35021</v>
      </c>
      <c r="H169">
        <v>1995</v>
      </c>
      <c r="I169">
        <v>8.3000000000000007</v>
      </c>
      <c r="J169">
        <v>1000000</v>
      </c>
      <c r="K169" t="s">
        <v>662</v>
      </c>
      <c r="L169">
        <v>4</v>
      </c>
      <c r="O169" t="s">
        <v>663</v>
      </c>
      <c r="Q169" t="s">
        <v>664</v>
      </c>
      <c r="V169">
        <v>2</v>
      </c>
      <c r="W169" t="s">
        <v>665</v>
      </c>
    </row>
    <row r="170" spans="1:23" x14ac:dyDescent="0.3">
      <c r="A170">
        <v>169</v>
      </c>
      <c r="B170" t="s">
        <v>666</v>
      </c>
      <c r="C170" t="s">
        <v>64</v>
      </c>
      <c r="D170">
        <v>26</v>
      </c>
      <c r="E170" t="s">
        <v>25</v>
      </c>
      <c r="F170" s="1">
        <v>37530</v>
      </c>
      <c r="G170" s="1">
        <v>37895</v>
      </c>
      <c r="H170">
        <v>2002</v>
      </c>
      <c r="I170">
        <v>8.5</v>
      </c>
      <c r="J170">
        <v>750000</v>
      </c>
      <c r="K170" t="s">
        <v>667</v>
      </c>
      <c r="L170">
        <v>4</v>
      </c>
      <c r="M170" t="s">
        <v>668</v>
      </c>
      <c r="P170" t="s">
        <v>669</v>
      </c>
      <c r="Q170" t="s">
        <v>670</v>
      </c>
      <c r="V170">
        <v>3</v>
      </c>
      <c r="W170" t="s">
        <v>671</v>
      </c>
    </row>
    <row r="171" spans="1:23" x14ac:dyDescent="0.3">
      <c r="A171">
        <v>170</v>
      </c>
      <c r="B171" t="s">
        <v>672</v>
      </c>
      <c r="C171" t="s">
        <v>64</v>
      </c>
      <c r="D171">
        <v>27</v>
      </c>
      <c r="E171" t="s">
        <v>25</v>
      </c>
      <c r="F171" s="1">
        <v>39173</v>
      </c>
      <c r="G171" s="1">
        <v>39355</v>
      </c>
      <c r="H171">
        <v>2007</v>
      </c>
      <c r="I171">
        <v>8.6</v>
      </c>
      <c r="J171">
        <v>1400000</v>
      </c>
      <c r="K171" t="s">
        <v>673</v>
      </c>
      <c r="L171">
        <v>5</v>
      </c>
      <c r="M171" t="s">
        <v>674</v>
      </c>
      <c r="N171" t="s">
        <v>675</v>
      </c>
      <c r="P171" t="s">
        <v>676</v>
      </c>
      <c r="Q171" t="s">
        <v>677</v>
      </c>
      <c r="V171">
        <v>4</v>
      </c>
      <c r="W171" t="s">
        <v>678</v>
      </c>
    </row>
    <row r="172" spans="1:23" x14ac:dyDescent="0.3">
      <c r="A172">
        <v>171</v>
      </c>
      <c r="B172" t="s">
        <v>679</v>
      </c>
      <c r="C172" t="s">
        <v>221</v>
      </c>
      <c r="D172">
        <v>24</v>
      </c>
      <c r="E172" t="s">
        <v>25</v>
      </c>
      <c r="F172" s="1">
        <v>41551</v>
      </c>
      <c r="G172" s="1">
        <v>41726</v>
      </c>
      <c r="H172">
        <v>2013</v>
      </c>
      <c r="I172">
        <v>8</v>
      </c>
      <c r="J172">
        <v>1100000</v>
      </c>
      <c r="K172" t="s">
        <v>680</v>
      </c>
      <c r="L172">
        <v>4</v>
      </c>
      <c r="N172" t="s">
        <v>681</v>
      </c>
      <c r="P172" t="s">
        <v>682</v>
      </c>
      <c r="Q172" t="s">
        <v>683</v>
      </c>
      <c r="V172">
        <v>3</v>
      </c>
      <c r="W172" t="s">
        <v>684</v>
      </c>
    </row>
    <row r="173" spans="1:23" x14ac:dyDescent="0.3">
      <c r="A173">
        <v>172</v>
      </c>
      <c r="B173" t="s">
        <v>685</v>
      </c>
      <c r="C173" t="s">
        <v>221</v>
      </c>
      <c r="D173">
        <v>6</v>
      </c>
      <c r="E173" t="s">
        <v>25</v>
      </c>
      <c r="F173" s="1">
        <v>36642</v>
      </c>
      <c r="G173" s="1">
        <v>36966</v>
      </c>
      <c r="H173">
        <v>2000</v>
      </c>
      <c r="I173">
        <v>8.1</v>
      </c>
      <c r="J173">
        <v>700000</v>
      </c>
      <c r="K173" t="s">
        <v>686</v>
      </c>
      <c r="L173">
        <v>4</v>
      </c>
      <c r="N173" t="s">
        <v>687</v>
      </c>
      <c r="Q173" t="s">
        <v>688</v>
      </c>
      <c r="V173">
        <v>2</v>
      </c>
      <c r="W173" t="s">
        <v>689</v>
      </c>
    </row>
    <row r="174" spans="1:23" x14ac:dyDescent="0.3">
      <c r="A174">
        <v>173</v>
      </c>
      <c r="B174" t="s">
        <v>690</v>
      </c>
      <c r="C174" t="s">
        <v>64</v>
      </c>
      <c r="D174">
        <v>13</v>
      </c>
      <c r="E174" t="s">
        <v>25</v>
      </c>
      <c r="F174" s="1">
        <v>39290</v>
      </c>
      <c r="G174" s="1">
        <v>39388</v>
      </c>
      <c r="H174">
        <v>2007</v>
      </c>
      <c r="I174">
        <v>8.4</v>
      </c>
      <c r="J174">
        <v>650000</v>
      </c>
      <c r="K174" t="s">
        <v>691</v>
      </c>
      <c r="L174">
        <v>5</v>
      </c>
      <c r="N174" t="s">
        <v>692</v>
      </c>
      <c r="Q174" t="s">
        <v>693</v>
      </c>
      <c r="V174">
        <v>2</v>
      </c>
      <c r="W174" t="s">
        <v>694</v>
      </c>
    </row>
    <row r="175" spans="1:23" x14ac:dyDescent="0.3">
      <c r="A175">
        <v>174</v>
      </c>
      <c r="B175" t="s">
        <v>695</v>
      </c>
      <c r="C175" t="s">
        <v>64</v>
      </c>
      <c r="D175">
        <v>24</v>
      </c>
      <c r="E175" t="s">
        <v>25</v>
      </c>
      <c r="F175" s="1">
        <v>40186</v>
      </c>
      <c r="G175" s="1">
        <v>40354</v>
      </c>
      <c r="H175">
        <v>2010</v>
      </c>
      <c r="I175">
        <v>8.1</v>
      </c>
      <c r="J175">
        <v>900000</v>
      </c>
      <c r="K175" t="s">
        <v>696</v>
      </c>
      <c r="L175">
        <v>4</v>
      </c>
      <c r="N175" t="s">
        <v>697</v>
      </c>
      <c r="P175" t="s">
        <v>698</v>
      </c>
      <c r="Q175" t="s">
        <v>699</v>
      </c>
      <c r="V175">
        <v>3</v>
      </c>
      <c r="W175" t="s">
        <v>700</v>
      </c>
    </row>
    <row r="176" spans="1:23" x14ac:dyDescent="0.3">
      <c r="A176">
        <v>175</v>
      </c>
      <c r="B176" t="s">
        <v>701</v>
      </c>
      <c r="C176" t="s">
        <v>221</v>
      </c>
      <c r="D176">
        <v>13</v>
      </c>
      <c r="E176" t="s">
        <v>25</v>
      </c>
      <c r="F176" s="1">
        <v>40271</v>
      </c>
      <c r="G176" s="1">
        <v>40355</v>
      </c>
      <c r="H176">
        <v>2010</v>
      </c>
      <c r="I176">
        <v>8</v>
      </c>
      <c r="J176">
        <v>1200000</v>
      </c>
      <c r="K176" t="s">
        <v>702</v>
      </c>
      <c r="L176">
        <v>4</v>
      </c>
      <c r="M176" t="s">
        <v>703</v>
      </c>
      <c r="N176" t="s">
        <v>704</v>
      </c>
      <c r="Q176" t="s">
        <v>705</v>
      </c>
      <c r="V176">
        <v>3</v>
      </c>
      <c r="W176" t="s">
        <v>706</v>
      </c>
    </row>
    <row r="177" spans="1:23" x14ac:dyDescent="0.3">
      <c r="A177">
        <v>176</v>
      </c>
      <c r="B177" t="s">
        <v>707</v>
      </c>
      <c r="C177" t="s">
        <v>179</v>
      </c>
      <c r="D177">
        <v>25</v>
      </c>
      <c r="E177" t="s">
        <v>25</v>
      </c>
      <c r="F177" s="1">
        <v>39723</v>
      </c>
      <c r="G177" s="1">
        <v>39898</v>
      </c>
      <c r="H177">
        <v>2008</v>
      </c>
      <c r="I177">
        <v>8.3000000000000007</v>
      </c>
      <c r="J177">
        <v>1000000</v>
      </c>
      <c r="K177" t="s">
        <v>708</v>
      </c>
      <c r="L177">
        <v>4</v>
      </c>
      <c r="M177" t="s">
        <v>709</v>
      </c>
      <c r="N177" t="s">
        <v>710</v>
      </c>
      <c r="V177">
        <v>2</v>
      </c>
      <c r="W177" t="s">
        <v>711</v>
      </c>
    </row>
    <row r="178" spans="1:23" x14ac:dyDescent="0.3">
      <c r="A178">
        <v>177</v>
      </c>
      <c r="B178" t="s">
        <v>712</v>
      </c>
      <c r="C178" t="s">
        <v>713</v>
      </c>
      <c r="D178">
        <v>23</v>
      </c>
      <c r="E178" t="s">
        <v>25</v>
      </c>
      <c r="F178" s="1">
        <v>39360</v>
      </c>
      <c r="G178" s="1">
        <v>39528</v>
      </c>
      <c r="H178">
        <v>2007</v>
      </c>
      <c r="I178">
        <v>8.1999999999999993</v>
      </c>
      <c r="J178">
        <v>850000</v>
      </c>
      <c r="K178" t="s">
        <v>714</v>
      </c>
      <c r="L178">
        <v>5</v>
      </c>
      <c r="N178" t="s">
        <v>715</v>
      </c>
      <c r="T178" t="s">
        <v>716</v>
      </c>
      <c r="V178">
        <v>2</v>
      </c>
      <c r="W178" t="s">
        <v>717</v>
      </c>
    </row>
    <row r="179" spans="1:23" x14ac:dyDescent="0.3">
      <c r="A179">
        <v>178</v>
      </c>
      <c r="B179" t="s">
        <v>718</v>
      </c>
      <c r="C179" t="s">
        <v>179</v>
      </c>
      <c r="D179">
        <v>22</v>
      </c>
      <c r="E179" t="s">
        <v>25</v>
      </c>
      <c r="F179" s="1">
        <v>41022</v>
      </c>
      <c r="G179" s="1">
        <v>41169</v>
      </c>
      <c r="H179">
        <v>2012</v>
      </c>
      <c r="I179">
        <v>8.1999999999999993</v>
      </c>
      <c r="J179">
        <v>750000</v>
      </c>
      <c r="K179" t="s">
        <v>719</v>
      </c>
      <c r="L179">
        <v>2</v>
      </c>
      <c r="N179" t="s">
        <v>720</v>
      </c>
      <c r="Q179" t="s">
        <v>721</v>
      </c>
      <c r="V179">
        <v>2</v>
      </c>
      <c r="W179" t="s">
        <v>722</v>
      </c>
    </row>
    <row r="180" spans="1:23" x14ac:dyDescent="0.3">
      <c r="A180">
        <v>179</v>
      </c>
      <c r="B180" t="s">
        <v>723</v>
      </c>
      <c r="C180" t="s">
        <v>64</v>
      </c>
      <c r="D180">
        <v>26</v>
      </c>
      <c r="E180" t="s">
        <v>25</v>
      </c>
      <c r="F180" s="1">
        <v>40636</v>
      </c>
      <c r="G180" s="1">
        <v>40811</v>
      </c>
      <c r="H180">
        <v>2011</v>
      </c>
      <c r="I180">
        <v>8.4</v>
      </c>
      <c r="J180">
        <v>800000</v>
      </c>
      <c r="K180" t="s">
        <v>724</v>
      </c>
      <c r="L180">
        <v>2</v>
      </c>
      <c r="N180" t="s">
        <v>725</v>
      </c>
      <c r="Q180" t="s">
        <v>726</v>
      </c>
      <c r="V180">
        <v>2</v>
      </c>
      <c r="W180" t="s">
        <v>727</v>
      </c>
    </row>
    <row r="181" spans="1:23" x14ac:dyDescent="0.3">
      <c r="A181">
        <v>180</v>
      </c>
      <c r="B181" t="s">
        <v>728</v>
      </c>
      <c r="C181" t="s">
        <v>24</v>
      </c>
      <c r="D181">
        <v>24</v>
      </c>
      <c r="E181" t="s">
        <v>25</v>
      </c>
      <c r="F181" s="1">
        <v>39180</v>
      </c>
      <c r="G181" s="1">
        <v>39341</v>
      </c>
      <c r="H181">
        <v>2007</v>
      </c>
      <c r="I181">
        <v>7.7</v>
      </c>
      <c r="J181">
        <v>700000</v>
      </c>
      <c r="K181" t="s">
        <v>724</v>
      </c>
      <c r="L181">
        <v>2</v>
      </c>
      <c r="N181" t="s">
        <v>729</v>
      </c>
      <c r="Q181" t="s">
        <v>730</v>
      </c>
      <c r="V181">
        <v>2</v>
      </c>
      <c r="W181" t="s">
        <v>731</v>
      </c>
    </row>
    <row r="182" spans="1:23" x14ac:dyDescent="0.3">
      <c r="A182">
        <v>181</v>
      </c>
      <c r="B182" t="s">
        <v>732</v>
      </c>
      <c r="C182" t="s">
        <v>179</v>
      </c>
      <c r="D182">
        <v>14</v>
      </c>
      <c r="E182" t="s">
        <v>25</v>
      </c>
      <c r="F182" s="1">
        <v>38810</v>
      </c>
      <c r="G182" s="1">
        <v>38901</v>
      </c>
      <c r="H182">
        <v>2006</v>
      </c>
      <c r="I182">
        <v>7.8</v>
      </c>
      <c r="J182">
        <v>1000000</v>
      </c>
      <c r="K182" t="s">
        <v>733</v>
      </c>
      <c r="L182">
        <v>4</v>
      </c>
      <c r="N182" t="s">
        <v>734</v>
      </c>
      <c r="Q182" t="s">
        <v>735</v>
      </c>
      <c r="V182">
        <v>2</v>
      </c>
      <c r="W182" t="s">
        <v>736</v>
      </c>
    </row>
    <row r="183" spans="1:23" x14ac:dyDescent="0.3">
      <c r="A183">
        <v>182</v>
      </c>
      <c r="B183" t="s">
        <v>737</v>
      </c>
      <c r="C183" t="s">
        <v>64</v>
      </c>
      <c r="D183">
        <v>13</v>
      </c>
      <c r="E183" t="s">
        <v>25</v>
      </c>
      <c r="F183" s="1">
        <v>39906</v>
      </c>
      <c r="G183" s="1">
        <v>39990</v>
      </c>
      <c r="H183">
        <v>2009</v>
      </c>
      <c r="I183">
        <v>7.9</v>
      </c>
      <c r="J183">
        <v>900000</v>
      </c>
      <c r="K183" t="s">
        <v>738</v>
      </c>
      <c r="L183">
        <v>3</v>
      </c>
      <c r="N183" t="s">
        <v>739</v>
      </c>
      <c r="T183" t="s">
        <v>740</v>
      </c>
      <c r="V183">
        <v>2</v>
      </c>
      <c r="W183" t="s">
        <v>741</v>
      </c>
    </row>
    <row r="184" spans="1:23" x14ac:dyDescent="0.3">
      <c r="A184">
        <v>183</v>
      </c>
      <c r="B184" t="s">
        <v>742</v>
      </c>
      <c r="C184" t="s">
        <v>242</v>
      </c>
      <c r="D184">
        <v>1</v>
      </c>
      <c r="E184" t="s">
        <v>25</v>
      </c>
      <c r="F184" s="1">
        <v>42630</v>
      </c>
      <c r="G184" s="1">
        <v>42630</v>
      </c>
      <c r="H184">
        <v>2016</v>
      </c>
      <c r="I184">
        <v>8.9</v>
      </c>
      <c r="J184">
        <v>1600000</v>
      </c>
      <c r="K184" t="s">
        <v>743</v>
      </c>
      <c r="L184">
        <v>3</v>
      </c>
      <c r="M184" t="s">
        <v>744</v>
      </c>
      <c r="O184" t="s">
        <v>745</v>
      </c>
      <c r="V184">
        <v>2</v>
      </c>
      <c r="W184" t="s">
        <v>746</v>
      </c>
    </row>
    <row r="185" spans="1:23" x14ac:dyDescent="0.3">
      <c r="A185">
        <v>184</v>
      </c>
      <c r="B185" t="s">
        <v>747</v>
      </c>
      <c r="C185" t="s">
        <v>242</v>
      </c>
      <c r="D185">
        <v>1</v>
      </c>
      <c r="E185" t="s">
        <v>25</v>
      </c>
      <c r="F185" s="1">
        <v>42608</v>
      </c>
      <c r="G185" s="1">
        <v>42608</v>
      </c>
      <c r="H185">
        <v>2016</v>
      </c>
      <c r="I185">
        <v>8.9</v>
      </c>
      <c r="J185">
        <v>2200000</v>
      </c>
      <c r="K185" t="s">
        <v>748</v>
      </c>
      <c r="L185">
        <v>3</v>
      </c>
      <c r="M185" t="s">
        <v>749</v>
      </c>
      <c r="N185" t="s">
        <v>750</v>
      </c>
      <c r="V185">
        <v>2</v>
      </c>
      <c r="W185" t="s">
        <v>751</v>
      </c>
    </row>
    <row r="186" spans="1:23" x14ac:dyDescent="0.3">
      <c r="A186">
        <v>185</v>
      </c>
      <c r="B186" t="s">
        <v>752</v>
      </c>
      <c r="C186" t="s">
        <v>242</v>
      </c>
      <c r="D186">
        <v>1</v>
      </c>
      <c r="E186" t="s">
        <v>25</v>
      </c>
      <c r="F186" s="1">
        <v>43665</v>
      </c>
      <c r="G186" s="1">
        <v>43665</v>
      </c>
      <c r="H186">
        <v>2019</v>
      </c>
      <c r="I186">
        <v>8.3000000000000007</v>
      </c>
      <c r="J186">
        <v>1200000</v>
      </c>
      <c r="K186" t="s">
        <v>748</v>
      </c>
      <c r="L186">
        <v>3</v>
      </c>
      <c r="N186" t="s">
        <v>753</v>
      </c>
      <c r="S186" t="s">
        <v>754</v>
      </c>
      <c r="V186">
        <v>2</v>
      </c>
      <c r="W186" t="s">
        <v>755</v>
      </c>
    </row>
    <row r="187" spans="1:23" x14ac:dyDescent="0.3">
      <c r="A187">
        <v>186</v>
      </c>
      <c r="B187" t="s">
        <v>756</v>
      </c>
      <c r="C187" t="s">
        <v>242</v>
      </c>
      <c r="D187">
        <v>1</v>
      </c>
      <c r="E187" t="s">
        <v>25</v>
      </c>
      <c r="F187" s="1">
        <v>39144</v>
      </c>
      <c r="G187" s="1">
        <v>39144</v>
      </c>
      <c r="H187">
        <v>2007</v>
      </c>
      <c r="I187">
        <v>7.8</v>
      </c>
      <c r="J187">
        <v>800000</v>
      </c>
      <c r="K187" t="s">
        <v>757</v>
      </c>
      <c r="L187">
        <v>2</v>
      </c>
      <c r="M187" t="s">
        <v>758</v>
      </c>
      <c r="N187" t="s">
        <v>759</v>
      </c>
      <c r="V187">
        <v>2</v>
      </c>
      <c r="W187" t="s">
        <v>760</v>
      </c>
    </row>
    <row r="188" spans="1:23" x14ac:dyDescent="0.3">
      <c r="A188">
        <v>187</v>
      </c>
      <c r="B188" t="s">
        <v>761</v>
      </c>
      <c r="C188" t="s">
        <v>242</v>
      </c>
      <c r="D188">
        <v>1</v>
      </c>
      <c r="E188" t="s">
        <v>25</v>
      </c>
      <c r="F188" s="1">
        <v>32249</v>
      </c>
      <c r="G188" s="1">
        <v>32249</v>
      </c>
      <c r="H188">
        <v>1988</v>
      </c>
      <c r="I188">
        <v>8.5</v>
      </c>
      <c r="J188">
        <v>900000</v>
      </c>
      <c r="K188" t="s">
        <v>762</v>
      </c>
      <c r="L188">
        <v>2</v>
      </c>
      <c r="M188" t="s">
        <v>763</v>
      </c>
      <c r="S188" t="s">
        <v>764</v>
      </c>
      <c r="V188">
        <v>2</v>
      </c>
      <c r="W188" t="s">
        <v>765</v>
      </c>
    </row>
    <row r="189" spans="1:23" x14ac:dyDescent="0.3">
      <c r="A189">
        <v>188</v>
      </c>
      <c r="B189" t="s">
        <v>766</v>
      </c>
      <c r="C189" t="s">
        <v>242</v>
      </c>
      <c r="D189">
        <v>1</v>
      </c>
      <c r="E189" t="s">
        <v>25</v>
      </c>
      <c r="F189" s="1">
        <v>38311</v>
      </c>
      <c r="G189" s="1">
        <v>38311</v>
      </c>
      <c r="H189">
        <v>2004</v>
      </c>
      <c r="I189">
        <v>8.6</v>
      </c>
      <c r="J189">
        <v>1700000</v>
      </c>
      <c r="K189" t="s">
        <v>382</v>
      </c>
      <c r="L189">
        <v>4</v>
      </c>
      <c r="M189" t="s">
        <v>767</v>
      </c>
      <c r="S189" t="s">
        <v>768</v>
      </c>
      <c r="V189">
        <v>2</v>
      </c>
      <c r="W189" t="s">
        <v>769</v>
      </c>
    </row>
    <row r="190" spans="1:23" x14ac:dyDescent="0.3">
      <c r="A190">
        <v>189</v>
      </c>
      <c r="B190" t="s">
        <v>770</v>
      </c>
      <c r="C190" t="s">
        <v>242</v>
      </c>
      <c r="D190">
        <v>1</v>
      </c>
      <c r="E190" t="s">
        <v>25</v>
      </c>
      <c r="F190" s="1">
        <v>32249</v>
      </c>
      <c r="G190" s="1">
        <v>32249</v>
      </c>
      <c r="H190">
        <v>1988</v>
      </c>
      <c r="I190">
        <v>8.3000000000000007</v>
      </c>
      <c r="J190">
        <v>1500000</v>
      </c>
      <c r="K190" t="s">
        <v>771</v>
      </c>
      <c r="L190">
        <v>3</v>
      </c>
      <c r="M190" t="s">
        <v>772</v>
      </c>
      <c r="S190" t="s">
        <v>773</v>
      </c>
      <c r="V190">
        <v>2</v>
      </c>
      <c r="W190" t="s">
        <v>774</v>
      </c>
    </row>
    <row r="191" spans="1:23" x14ac:dyDescent="0.3">
      <c r="A191">
        <v>190</v>
      </c>
      <c r="B191" t="s">
        <v>775</v>
      </c>
      <c r="C191" t="s">
        <v>179</v>
      </c>
      <c r="D191">
        <v>12</v>
      </c>
      <c r="E191" t="s">
        <v>25</v>
      </c>
      <c r="F191" s="1">
        <v>43198</v>
      </c>
      <c r="G191" s="1">
        <v>43282</v>
      </c>
      <c r="H191">
        <v>2018</v>
      </c>
      <c r="I191">
        <v>7.3</v>
      </c>
      <c r="J191">
        <v>600000</v>
      </c>
      <c r="K191" t="s">
        <v>776</v>
      </c>
      <c r="L191">
        <v>4</v>
      </c>
      <c r="N191" t="s">
        <v>777</v>
      </c>
      <c r="Q191" t="s">
        <v>778</v>
      </c>
      <c r="V191">
        <v>2</v>
      </c>
      <c r="W191" t="s">
        <v>779</v>
      </c>
    </row>
    <row r="192" spans="1:23" x14ac:dyDescent="0.3">
      <c r="A192">
        <v>191</v>
      </c>
      <c r="B192" t="s">
        <v>780</v>
      </c>
      <c r="C192" t="s">
        <v>179</v>
      </c>
      <c r="D192">
        <v>13</v>
      </c>
      <c r="E192" t="s">
        <v>25</v>
      </c>
      <c r="F192" s="1">
        <v>40817</v>
      </c>
      <c r="G192" s="1">
        <v>40901</v>
      </c>
      <c r="H192">
        <v>2011</v>
      </c>
      <c r="I192">
        <v>8.4</v>
      </c>
      <c r="J192">
        <v>1100000</v>
      </c>
      <c r="K192" t="s">
        <v>781</v>
      </c>
      <c r="L192">
        <v>4</v>
      </c>
      <c r="M192" t="s">
        <v>782</v>
      </c>
      <c r="N192" t="s">
        <v>783</v>
      </c>
      <c r="V192">
        <v>2</v>
      </c>
      <c r="W192" t="s">
        <v>784</v>
      </c>
    </row>
    <row r="193" spans="1:23" x14ac:dyDescent="0.3">
      <c r="A193">
        <v>192</v>
      </c>
      <c r="B193" t="s">
        <v>785</v>
      </c>
      <c r="C193" t="s">
        <v>713</v>
      </c>
      <c r="D193">
        <v>26</v>
      </c>
      <c r="E193" t="s">
        <v>25</v>
      </c>
      <c r="F193" s="1">
        <v>41917</v>
      </c>
      <c r="G193" s="1">
        <v>42365</v>
      </c>
      <c r="H193">
        <v>2014</v>
      </c>
      <c r="I193">
        <v>8.1999999999999993</v>
      </c>
      <c r="J193">
        <v>900000</v>
      </c>
      <c r="K193" t="s">
        <v>609</v>
      </c>
      <c r="L193">
        <v>3</v>
      </c>
      <c r="M193" t="s">
        <v>786</v>
      </c>
      <c r="N193" t="s">
        <v>787</v>
      </c>
      <c r="V193">
        <v>2</v>
      </c>
      <c r="W193" t="s">
        <v>788</v>
      </c>
    </row>
    <row r="194" spans="1:23" x14ac:dyDescent="0.3">
      <c r="A194">
        <v>193</v>
      </c>
      <c r="B194" t="s">
        <v>789</v>
      </c>
      <c r="C194" t="s">
        <v>64</v>
      </c>
      <c r="D194">
        <v>12</v>
      </c>
      <c r="E194" t="s">
        <v>25</v>
      </c>
      <c r="F194" s="1">
        <v>43477</v>
      </c>
      <c r="G194" s="1">
        <v>43554</v>
      </c>
      <c r="H194">
        <v>2019</v>
      </c>
      <c r="I194">
        <v>8.4</v>
      </c>
      <c r="J194">
        <v>1300000</v>
      </c>
      <c r="K194" t="s">
        <v>790</v>
      </c>
      <c r="L194">
        <v>4</v>
      </c>
      <c r="N194" t="s">
        <v>791</v>
      </c>
      <c r="Q194" t="s">
        <v>792</v>
      </c>
      <c r="V194">
        <v>2</v>
      </c>
      <c r="W194" t="s">
        <v>793</v>
      </c>
    </row>
    <row r="195" spans="1:23" x14ac:dyDescent="0.3">
      <c r="A195">
        <v>194</v>
      </c>
      <c r="B195" t="s">
        <v>794</v>
      </c>
      <c r="C195" t="s">
        <v>221</v>
      </c>
      <c r="D195">
        <v>22</v>
      </c>
      <c r="E195" t="s">
        <v>25</v>
      </c>
      <c r="F195" s="1">
        <v>42833</v>
      </c>
      <c r="G195" s="1">
        <v>42994</v>
      </c>
      <c r="H195">
        <v>2017</v>
      </c>
      <c r="I195">
        <v>7.5</v>
      </c>
      <c r="J195">
        <v>500000</v>
      </c>
      <c r="K195" t="s">
        <v>795</v>
      </c>
      <c r="L195">
        <v>4</v>
      </c>
      <c r="O195" t="s">
        <v>796</v>
      </c>
      <c r="V195">
        <v>1</v>
      </c>
      <c r="W195" t="s">
        <v>797</v>
      </c>
    </row>
    <row r="196" spans="1:23" x14ac:dyDescent="0.3">
      <c r="A196">
        <v>195</v>
      </c>
      <c r="B196" t="s">
        <v>798</v>
      </c>
      <c r="C196" t="s">
        <v>221</v>
      </c>
      <c r="D196">
        <v>12</v>
      </c>
      <c r="E196" t="s">
        <v>25</v>
      </c>
      <c r="F196" s="1">
        <v>44112</v>
      </c>
      <c r="G196" s="1">
        <v>44189</v>
      </c>
      <c r="H196">
        <v>2020</v>
      </c>
      <c r="I196">
        <v>7.8</v>
      </c>
      <c r="J196">
        <v>450000</v>
      </c>
      <c r="K196" t="s">
        <v>799</v>
      </c>
      <c r="L196">
        <v>3</v>
      </c>
      <c r="N196" t="s">
        <v>800</v>
      </c>
      <c r="Q196" t="s">
        <v>801</v>
      </c>
      <c r="V196">
        <v>2</v>
      </c>
      <c r="W196" t="s">
        <v>802</v>
      </c>
    </row>
    <row r="197" spans="1:23" x14ac:dyDescent="0.3">
      <c r="A197">
        <v>196</v>
      </c>
      <c r="B197" t="s">
        <v>803</v>
      </c>
      <c r="C197" t="s">
        <v>221</v>
      </c>
      <c r="D197">
        <v>13</v>
      </c>
      <c r="E197" t="s">
        <v>25</v>
      </c>
      <c r="F197" s="1">
        <v>44289</v>
      </c>
      <c r="G197" s="1">
        <v>44366</v>
      </c>
      <c r="H197">
        <v>2021</v>
      </c>
      <c r="I197">
        <v>8.4</v>
      </c>
      <c r="J197">
        <v>550000</v>
      </c>
      <c r="K197" t="s">
        <v>804</v>
      </c>
      <c r="L197">
        <v>4</v>
      </c>
      <c r="N197" t="s">
        <v>805</v>
      </c>
      <c r="Q197" t="s">
        <v>806</v>
      </c>
      <c r="V197">
        <v>2</v>
      </c>
      <c r="W197" t="s">
        <v>807</v>
      </c>
    </row>
    <row r="198" spans="1:23" x14ac:dyDescent="0.3">
      <c r="A198">
        <v>197</v>
      </c>
      <c r="B198" t="s">
        <v>808</v>
      </c>
      <c r="C198" t="s">
        <v>221</v>
      </c>
      <c r="D198">
        <v>23</v>
      </c>
      <c r="E198" t="s">
        <v>25</v>
      </c>
      <c r="F198" s="1">
        <v>44014</v>
      </c>
      <c r="G198" s="1">
        <v>44181</v>
      </c>
      <c r="H198">
        <v>2020</v>
      </c>
      <c r="I198">
        <v>8.3000000000000007</v>
      </c>
      <c r="J198">
        <v>500000</v>
      </c>
      <c r="K198" t="s">
        <v>809</v>
      </c>
      <c r="L198">
        <v>4</v>
      </c>
      <c r="M198" t="s">
        <v>810</v>
      </c>
      <c r="V198">
        <v>1</v>
      </c>
      <c r="W198" t="s">
        <v>811</v>
      </c>
    </row>
    <row r="199" spans="1:23" x14ac:dyDescent="0.3">
      <c r="A199">
        <v>198</v>
      </c>
      <c r="B199" t="s">
        <v>812</v>
      </c>
      <c r="C199" t="s">
        <v>221</v>
      </c>
      <c r="D199">
        <v>13</v>
      </c>
      <c r="E199" t="s">
        <v>25</v>
      </c>
      <c r="F199" s="1">
        <v>43196</v>
      </c>
      <c r="G199" s="1">
        <v>43280</v>
      </c>
      <c r="H199">
        <v>2018</v>
      </c>
      <c r="I199">
        <v>7.9</v>
      </c>
      <c r="J199">
        <v>480000</v>
      </c>
      <c r="K199" t="s">
        <v>813</v>
      </c>
      <c r="L199">
        <v>4</v>
      </c>
      <c r="N199" t="s">
        <v>814</v>
      </c>
      <c r="Q199" t="s">
        <v>815</v>
      </c>
      <c r="V199">
        <v>2</v>
      </c>
      <c r="W199" t="s">
        <v>816</v>
      </c>
    </row>
    <row r="200" spans="1:23" x14ac:dyDescent="0.3">
      <c r="A200">
        <v>199</v>
      </c>
      <c r="B200" t="s">
        <v>817</v>
      </c>
      <c r="C200" t="s">
        <v>221</v>
      </c>
      <c r="D200">
        <v>24</v>
      </c>
      <c r="E200" t="s">
        <v>25</v>
      </c>
      <c r="F200" s="1">
        <v>43565</v>
      </c>
      <c r="G200" s="1">
        <v>43740</v>
      </c>
      <c r="H200">
        <v>2019</v>
      </c>
      <c r="I200">
        <v>8.1</v>
      </c>
      <c r="J200">
        <v>450000</v>
      </c>
      <c r="K200" t="s">
        <v>818</v>
      </c>
      <c r="L200">
        <v>3</v>
      </c>
      <c r="M200" t="s">
        <v>819</v>
      </c>
      <c r="V200">
        <v>1</v>
      </c>
      <c r="W200" t="s">
        <v>820</v>
      </c>
    </row>
    <row r="201" spans="1:23" x14ac:dyDescent="0.3">
      <c r="A201">
        <v>200</v>
      </c>
      <c r="B201" t="s">
        <v>821</v>
      </c>
      <c r="C201" t="s">
        <v>221</v>
      </c>
      <c r="D201">
        <v>12</v>
      </c>
      <c r="E201" t="s">
        <v>25</v>
      </c>
      <c r="F201" s="1">
        <v>42014</v>
      </c>
      <c r="G201" s="1">
        <v>42091</v>
      </c>
      <c r="H201">
        <v>2015</v>
      </c>
      <c r="I201">
        <v>8.1999999999999993</v>
      </c>
      <c r="J201">
        <v>800000</v>
      </c>
      <c r="K201" t="s">
        <v>822</v>
      </c>
      <c r="L201">
        <v>5</v>
      </c>
      <c r="N201" t="s">
        <v>823</v>
      </c>
      <c r="Q201" t="s">
        <v>824</v>
      </c>
      <c r="V201">
        <v>2</v>
      </c>
      <c r="W201" t="s">
        <v>825</v>
      </c>
    </row>
    <row r="202" spans="1:23" x14ac:dyDescent="0.3">
      <c r="A202">
        <v>201</v>
      </c>
      <c r="B202" t="s">
        <v>826</v>
      </c>
      <c r="C202" t="s">
        <v>24</v>
      </c>
      <c r="D202">
        <v>12</v>
      </c>
      <c r="E202" t="s">
        <v>46</v>
      </c>
      <c r="F202" s="1">
        <v>46030</v>
      </c>
      <c r="G202" s="1">
        <v>46107</v>
      </c>
      <c r="H202">
        <v>2026</v>
      </c>
      <c r="I202">
        <v>8.6999999999999993</v>
      </c>
      <c r="J202">
        <v>1897654</v>
      </c>
      <c r="K202" t="s">
        <v>97</v>
      </c>
      <c r="L202">
        <v>5</v>
      </c>
      <c r="N202" t="s">
        <v>99</v>
      </c>
      <c r="V202">
        <v>1</v>
      </c>
      <c r="W202" t="s">
        <v>827</v>
      </c>
    </row>
    <row r="203" spans="1:23" x14ac:dyDescent="0.3">
      <c r="A203">
        <v>202</v>
      </c>
      <c r="B203" t="s">
        <v>828</v>
      </c>
      <c r="C203" t="s">
        <v>511</v>
      </c>
      <c r="D203">
        <v>36</v>
      </c>
      <c r="E203" t="s">
        <v>25</v>
      </c>
      <c r="F203" s="1">
        <v>35823</v>
      </c>
      <c r="G203" s="1">
        <v>36182</v>
      </c>
      <c r="H203">
        <v>1998</v>
      </c>
      <c r="I203">
        <v>7.5</v>
      </c>
      <c r="J203">
        <v>3200000</v>
      </c>
      <c r="K203" t="s">
        <v>395</v>
      </c>
      <c r="L203">
        <v>3</v>
      </c>
      <c r="M203" t="s">
        <v>54</v>
      </c>
      <c r="U203" t="s">
        <v>512</v>
      </c>
      <c r="V203">
        <v>2</v>
      </c>
      <c r="W203" t="s">
        <v>829</v>
      </c>
    </row>
    <row r="204" spans="1:23" x14ac:dyDescent="0.3">
      <c r="A204">
        <v>203</v>
      </c>
      <c r="B204" t="s">
        <v>462</v>
      </c>
      <c r="C204" t="s">
        <v>24</v>
      </c>
      <c r="D204">
        <v>8</v>
      </c>
      <c r="E204" t="s">
        <v>25</v>
      </c>
      <c r="F204" s="1">
        <v>45424</v>
      </c>
      <c r="G204" s="1">
        <v>45473</v>
      </c>
      <c r="H204">
        <v>2024</v>
      </c>
      <c r="I204">
        <v>8</v>
      </c>
      <c r="J204">
        <v>771978</v>
      </c>
      <c r="K204" t="s">
        <v>86</v>
      </c>
      <c r="L204">
        <v>5</v>
      </c>
      <c r="M204" t="s">
        <v>87</v>
      </c>
      <c r="N204" t="s">
        <v>88</v>
      </c>
      <c r="P204" t="s">
        <v>464</v>
      </c>
      <c r="V204">
        <v>3</v>
      </c>
      <c r="W204" t="s">
        <v>465</v>
      </c>
    </row>
    <row r="205" spans="1:23" x14ac:dyDescent="0.3">
      <c r="A205">
        <v>204</v>
      </c>
      <c r="B205" t="s">
        <v>848</v>
      </c>
      <c r="C205" t="s">
        <v>242</v>
      </c>
      <c r="D205">
        <v>1</v>
      </c>
      <c r="E205" t="s">
        <v>25</v>
      </c>
      <c r="F205" s="1">
        <v>45856</v>
      </c>
      <c r="G205" s="1">
        <v>45856</v>
      </c>
      <c r="H205">
        <v>2025</v>
      </c>
      <c r="I205">
        <v>8.6999999999999993</v>
      </c>
      <c r="J205">
        <v>1456789</v>
      </c>
      <c r="K205" t="s">
        <v>86</v>
      </c>
      <c r="L205">
        <v>5</v>
      </c>
      <c r="N205" t="s">
        <v>830</v>
      </c>
      <c r="V205">
        <v>1</v>
      </c>
      <c r="W205" t="s">
        <v>91</v>
      </c>
    </row>
    <row r="206" spans="1:23" x14ac:dyDescent="0.3">
      <c r="A206">
        <v>205</v>
      </c>
      <c r="B206" t="s">
        <v>831</v>
      </c>
      <c r="C206" t="s">
        <v>494</v>
      </c>
      <c r="D206">
        <v>12</v>
      </c>
      <c r="E206" t="s">
        <v>25</v>
      </c>
      <c r="F206" s="1">
        <v>45942</v>
      </c>
      <c r="G206" s="1">
        <v>46020</v>
      </c>
      <c r="H206">
        <v>2025</v>
      </c>
      <c r="I206">
        <v>4.5999999999999996</v>
      </c>
      <c r="J206">
        <v>987654</v>
      </c>
      <c r="K206" t="s">
        <v>499</v>
      </c>
      <c r="L206">
        <v>5</v>
      </c>
      <c r="M206" t="s">
        <v>500</v>
      </c>
      <c r="N206" t="s">
        <v>501</v>
      </c>
      <c r="P206" t="s">
        <v>502</v>
      </c>
      <c r="V206">
        <v>3</v>
      </c>
      <c r="W206" t="s">
        <v>832</v>
      </c>
    </row>
    <row r="207" spans="1:23" x14ac:dyDescent="0.3">
      <c r="A207">
        <v>206</v>
      </c>
      <c r="B207" t="s">
        <v>833</v>
      </c>
      <c r="C207" t="s">
        <v>24</v>
      </c>
      <c r="D207">
        <v>21</v>
      </c>
      <c r="E207" t="s">
        <v>25</v>
      </c>
      <c r="F207" s="1">
        <v>45416</v>
      </c>
      <c r="G207" s="1">
        <v>45577</v>
      </c>
      <c r="H207">
        <v>2024</v>
      </c>
      <c r="I207">
        <v>8.1</v>
      </c>
      <c r="J207">
        <v>349727</v>
      </c>
      <c r="K207" t="s">
        <v>110</v>
      </c>
      <c r="L207">
        <v>4</v>
      </c>
      <c r="N207" t="s">
        <v>111</v>
      </c>
      <c r="P207" t="s">
        <v>112</v>
      </c>
      <c r="Q207" t="s">
        <v>113</v>
      </c>
      <c r="V207">
        <v>3</v>
      </c>
      <c r="W207" t="s">
        <v>834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64F3-0047-4EA1-87E9-99A602EAF7D5}">
  <sheetPr>
    <tabColor rgb="FF0000FF"/>
  </sheetPr>
  <dimension ref="A1:AA81"/>
  <sheetViews>
    <sheetView tabSelected="1" zoomScale="71" zoomScaleNormal="71" workbookViewId="0">
      <selection activeCell="B6" sqref="B6"/>
    </sheetView>
  </sheetViews>
  <sheetFormatPr defaultRowHeight="14.4" x14ac:dyDescent="0.3"/>
  <cols>
    <col min="1" max="1" width="13.77734375" bestFit="1" customWidth="1"/>
    <col min="2" max="2" width="12.44140625" bestFit="1" customWidth="1"/>
    <col min="3" max="3" width="16.33203125" bestFit="1" customWidth="1"/>
    <col min="15" max="15" width="13.77734375" bestFit="1" customWidth="1"/>
    <col min="16" max="16" width="15.88671875" bestFit="1" customWidth="1"/>
    <col min="17" max="17" width="15" bestFit="1" customWidth="1"/>
    <col min="18" max="21" width="12" bestFit="1" customWidth="1"/>
    <col min="22" max="22" width="7" bestFit="1" customWidth="1"/>
    <col min="23" max="23" width="10.77734375" bestFit="1" customWidth="1"/>
    <col min="26" max="26" width="49.21875" bestFit="1" customWidth="1"/>
    <col min="27" max="27" width="16.33203125" bestFit="1" customWidth="1"/>
  </cols>
  <sheetData>
    <row r="1" spans="1:16" x14ac:dyDescent="0.3">
      <c r="A1" t="s">
        <v>836</v>
      </c>
      <c r="B1" t="s">
        <v>835</v>
      </c>
      <c r="C1" t="s">
        <v>837</v>
      </c>
    </row>
    <row r="2" spans="1:16" x14ac:dyDescent="0.3">
      <c r="A2" s="6">
        <v>8.2294117647058833</v>
      </c>
      <c r="B2" s="6">
        <v>206</v>
      </c>
      <c r="C2" s="6">
        <v>315207593</v>
      </c>
    </row>
    <row r="3" spans="1:16" x14ac:dyDescent="0.3">
      <c r="A3">
        <f>GETPIVOTDATA("Count of title",$A$1)</f>
        <v>206</v>
      </c>
      <c r="B3">
        <f>GETPIVOTDATA("Average of rating",$A$1)</f>
        <v>8.2294117647058833</v>
      </c>
      <c r="C3">
        <f>GETPIVOTDATA("Sum of popularity",$A$1)</f>
        <v>315207593</v>
      </c>
    </row>
    <row r="5" spans="1:16" x14ac:dyDescent="0.3">
      <c r="A5" s="3" t="s">
        <v>843</v>
      </c>
      <c r="B5" t="s">
        <v>835</v>
      </c>
    </row>
    <row r="6" spans="1:16" x14ac:dyDescent="0.3">
      <c r="A6" s="4" t="s">
        <v>849</v>
      </c>
      <c r="B6" s="6">
        <v>71</v>
      </c>
    </row>
    <row r="7" spans="1:16" x14ac:dyDescent="0.3">
      <c r="A7" s="4" t="s">
        <v>850</v>
      </c>
      <c r="B7" s="6">
        <v>66</v>
      </c>
      <c r="O7" s="3" t="s">
        <v>843</v>
      </c>
      <c r="P7" t="s">
        <v>846</v>
      </c>
    </row>
    <row r="8" spans="1:16" x14ac:dyDescent="0.3">
      <c r="A8" s="4" t="s">
        <v>851</v>
      </c>
      <c r="B8" s="6">
        <v>42</v>
      </c>
      <c r="O8" s="4" t="s">
        <v>18</v>
      </c>
      <c r="P8" s="5">
        <v>2.5641025641025641E-3</v>
      </c>
    </row>
    <row r="9" spans="1:16" x14ac:dyDescent="0.3">
      <c r="A9" s="4" t="s">
        <v>852</v>
      </c>
      <c r="B9" s="6">
        <v>7</v>
      </c>
      <c r="O9" s="4" t="s">
        <v>14</v>
      </c>
      <c r="P9" s="5">
        <v>2.5641025641025641E-3</v>
      </c>
    </row>
    <row r="10" spans="1:16" x14ac:dyDescent="0.3">
      <c r="A10" s="4" t="s">
        <v>853</v>
      </c>
      <c r="B10" s="6">
        <v>5</v>
      </c>
      <c r="O10" s="4" t="s">
        <v>19</v>
      </c>
      <c r="P10" s="5">
        <v>2.5641025641025641E-3</v>
      </c>
    </row>
    <row r="11" spans="1:16" x14ac:dyDescent="0.3">
      <c r="A11" s="4" t="s">
        <v>854</v>
      </c>
      <c r="B11" s="6">
        <v>3</v>
      </c>
      <c r="O11" s="4" t="s">
        <v>17</v>
      </c>
      <c r="P11" s="5">
        <v>2.5641025641025641E-3</v>
      </c>
    </row>
    <row r="12" spans="1:16" x14ac:dyDescent="0.3">
      <c r="A12" s="4" t="s">
        <v>855</v>
      </c>
      <c r="B12" s="6">
        <v>3</v>
      </c>
      <c r="O12" s="4" t="s">
        <v>20</v>
      </c>
      <c r="P12" s="5">
        <v>5.1282051282051282E-3</v>
      </c>
    </row>
    <row r="13" spans="1:16" x14ac:dyDescent="0.3">
      <c r="A13" s="4" t="s">
        <v>856</v>
      </c>
      <c r="B13" s="6">
        <v>2</v>
      </c>
      <c r="O13" s="4" t="s">
        <v>839</v>
      </c>
      <c r="P13" s="5">
        <v>0.1641025641025641</v>
      </c>
    </row>
    <row r="14" spans="1:16" x14ac:dyDescent="0.3">
      <c r="A14" s="4" t="s">
        <v>857</v>
      </c>
      <c r="B14" s="6">
        <v>2</v>
      </c>
      <c r="O14" s="4" t="s">
        <v>15</v>
      </c>
      <c r="P14" s="5">
        <v>0.18461538461538463</v>
      </c>
    </row>
    <row r="15" spans="1:16" x14ac:dyDescent="0.3">
      <c r="A15" s="4" t="s">
        <v>858</v>
      </c>
      <c r="B15" s="6">
        <v>1</v>
      </c>
      <c r="O15" s="4" t="s">
        <v>16</v>
      </c>
      <c r="P15" s="5">
        <v>0.20256410256410257</v>
      </c>
    </row>
    <row r="16" spans="1:16" x14ac:dyDescent="0.3">
      <c r="A16" s="4" t="s">
        <v>859</v>
      </c>
      <c r="B16" s="6">
        <v>1</v>
      </c>
      <c r="O16" s="4" t="s">
        <v>840</v>
      </c>
      <c r="P16" s="5">
        <v>0.43333333333333335</v>
      </c>
    </row>
    <row r="17" spans="1:27" x14ac:dyDescent="0.3">
      <c r="A17" s="4" t="s">
        <v>860</v>
      </c>
      <c r="B17" s="6">
        <v>1</v>
      </c>
      <c r="O17" s="4" t="s">
        <v>844</v>
      </c>
      <c r="P17" s="5">
        <v>0.99999999999999989</v>
      </c>
    </row>
    <row r="18" spans="1:27" x14ac:dyDescent="0.3">
      <c r="A18" s="4" t="s">
        <v>861</v>
      </c>
      <c r="B18" s="6">
        <v>1</v>
      </c>
    </row>
    <row r="19" spans="1:27" x14ac:dyDescent="0.3">
      <c r="A19" s="4" t="s">
        <v>862</v>
      </c>
      <c r="B19" s="6">
        <v>1</v>
      </c>
    </row>
    <row r="20" spans="1:27" x14ac:dyDescent="0.3">
      <c r="A20" s="4" t="s">
        <v>844</v>
      </c>
      <c r="B20" s="6">
        <v>206</v>
      </c>
    </row>
    <row r="25" spans="1:27" x14ac:dyDescent="0.3">
      <c r="O25" s="3" t="s">
        <v>843</v>
      </c>
      <c r="P25" t="s">
        <v>836</v>
      </c>
    </row>
    <row r="26" spans="1:27" x14ac:dyDescent="0.3">
      <c r="O26" s="4" t="s">
        <v>860</v>
      </c>
      <c r="P26" s="6">
        <v>9.1</v>
      </c>
      <c r="Z26" s="3" t="s">
        <v>843</v>
      </c>
      <c r="AA26" t="s">
        <v>845</v>
      </c>
    </row>
    <row r="27" spans="1:27" x14ac:dyDescent="0.3">
      <c r="O27" s="4" t="s">
        <v>857</v>
      </c>
      <c r="P27" s="6">
        <v>8.8000000000000007</v>
      </c>
      <c r="Z27" s="4" t="s">
        <v>46</v>
      </c>
      <c r="AA27" s="6">
        <v>10</v>
      </c>
    </row>
    <row r="28" spans="1:27" x14ac:dyDescent="0.3">
      <c r="O28" s="4" t="s">
        <v>854</v>
      </c>
      <c r="P28" s="6">
        <v>8.5</v>
      </c>
      <c r="Z28" s="4" t="s">
        <v>25</v>
      </c>
      <c r="AA28" s="6">
        <v>196</v>
      </c>
    </row>
    <row r="29" spans="1:27" x14ac:dyDescent="0.3">
      <c r="O29" s="4" t="s">
        <v>855</v>
      </c>
      <c r="P29" s="6">
        <v>8.4</v>
      </c>
      <c r="Z29" s="4" t="s">
        <v>844</v>
      </c>
      <c r="AA29" s="6">
        <v>206</v>
      </c>
    </row>
    <row r="30" spans="1:27" x14ac:dyDescent="0.3">
      <c r="O30" s="4" t="s">
        <v>851</v>
      </c>
      <c r="P30" s="6">
        <v>8.3357142857142872</v>
      </c>
    </row>
    <row r="31" spans="1:27" x14ac:dyDescent="0.3">
      <c r="O31" s="4" t="s">
        <v>852</v>
      </c>
      <c r="P31" s="6">
        <v>8.3285714285714292</v>
      </c>
    </row>
    <row r="32" spans="1:27" x14ac:dyDescent="0.3">
      <c r="O32" s="4" t="s">
        <v>858</v>
      </c>
      <c r="P32" s="6">
        <v>8.3000000000000007</v>
      </c>
    </row>
    <row r="33" spans="15:27" x14ac:dyDescent="0.3">
      <c r="O33" s="4" t="s">
        <v>853</v>
      </c>
      <c r="P33" s="6">
        <v>8.2199999999999989</v>
      </c>
    </row>
    <row r="34" spans="15:27" x14ac:dyDescent="0.3">
      <c r="O34" s="4" t="s">
        <v>850</v>
      </c>
      <c r="P34" s="6">
        <v>8.1953124999999982</v>
      </c>
    </row>
    <row r="35" spans="15:27" x14ac:dyDescent="0.3">
      <c r="O35" s="4" t="s">
        <v>849</v>
      </c>
      <c r="P35" s="6">
        <v>8.169014084507042</v>
      </c>
    </row>
    <row r="36" spans="15:27" x14ac:dyDescent="0.3">
      <c r="O36" s="4" t="s">
        <v>861</v>
      </c>
      <c r="P36" s="6">
        <v>8</v>
      </c>
    </row>
    <row r="37" spans="15:27" x14ac:dyDescent="0.3">
      <c r="O37" s="4" t="s">
        <v>859</v>
      </c>
      <c r="P37" s="6">
        <v>7.9</v>
      </c>
    </row>
    <row r="38" spans="15:27" x14ac:dyDescent="0.3">
      <c r="O38" s="4" t="s">
        <v>862</v>
      </c>
      <c r="P38" s="6">
        <v>7.8</v>
      </c>
    </row>
    <row r="39" spans="15:27" x14ac:dyDescent="0.3">
      <c r="O39" s="4" t="s">
        <v>856</v>
      </c>
      <c r="P39" s="6">
        <v>7.7</v>
      </c>
    </row>
    <row r="40" spans="15:27" x14ac:dyDescent="0.3">
      <c r="O40" s="4" t="s">
        <v>844</v>
      </c>
      <c r="P40" s="6">
        <v>8.2294117647058815</v>
      </c>
    </row>
    <row r="41" spans="15:27" x14ac:dyDescent="0.3">
      <c r="Z41" s="3" t="s">
        <v>843</v>
      </c>
      <c r="AA41" t="s">
        <v>837</v>
      </c>
    </row>
    <row r="42" spans="15:27" x14ac:dyDescent="0.3">
      <c r="Z42" s="4" t="s">
        <v>462</v>
      </c>
      <c r="AA42" s="6">
        <v>4228767</v>
      </c>
    </row>
    <row r="43" spans="15:27" x14ac:dyDescent="0.3">
      <c r="Z43" s="4" t="s">
        <v>616</v>
      </c>
      <c r="AA43" s="6">
        <v>4500000</v>
      </c>
    </row>
    <row r="44" spans="15:27" x14ac:dyDescent="0.3">
      <c r="Z44" s="4" t="s">
        <v>514</v>
      </c>
      <c r="AA44" s="6">
        <v>4500000</v>
      </c>
    </row>
    <row r="45" spans="15:27" x14ac:dyDescent="0.3">
      <c r="Z45" s="4" t="s">
        <v>576</v>
      </c>
      <c r="AA45" s="6">
        <v>4500000</v>
      </c>
    </row>
    <row r="46" spans="15:27" x14ac:dyDescent="0.3">
      <c r="Z46" s="4" t="s">
        <v>498</v>
      </c>
      <c r="AA46" s="6">
        <v>4567890</v>
      </c>
    </row>
    <row r="47" spans="15:27" x14ac:dyDescent="0.3">
      <c r="Z47" s="4" t="s">
        <v>612</v>
      </c>
      <c r="AA47" s="6">
        <v>5000000</v>
      </c>
    </row>
    <row r="48" spans="15:27" x14ac:dyDescent="0.3">
      <c r="Z48" s="4" t="s">
        <v>524</v>
      </c>
      <c r="AA48" s="6">
        <v>5000000</v>
      </c>
    </row>
    <row r="49" spans="1:27" x14ac:dyDescent="0.3">
      <c r="Z49" s="4" t="s">
        <v>571</v>
      </c>
      <c r="AA49" s="6">
        <v>5000000</v>
      </c>
    </row>
    <row r="50" spans="1:27" x14ac:dyDescent="0.3">
      <c r="Z50" s="4" t="s">
        <v>510</v>
      </c>
      <c r="AA50" s="6">
        <v>5678901</v>
      </c>
    </row>
    <row r="51" spans="1:27" x14ac:dyDescent="0.3">
      <c r="Z51" s="4" t="s">
        <v>39</v>
      </c>
      <c r="AA51" s="6">
        <v>15432101</v>
      </c>
    </row>
    <row r="52" spans="1:27" x14ac:dyDescent="0.3">
      <c r="A52" s="3" t="s">
        <v>843</v>
      </c>
      <c r="B52" t="s">
        <v>845</v>
      </c>
      <c r="Z52" s="4" t="s">
        <v>844</v>
      </c>
      <c r="AA52" s="6">
        <v>58407659</v>
      </c>
    </row>
    <row r="53" spans="1:27" x14ac:dyDescent="0.3">
      <c r="A53" s="4" t="s">
        <v>459</v>
      </c>
      <c r="B53" s="6">
        <v>1</v>
      </c>
    </row>
    <row r="54" spans="1:27" x14ac:dyDescent="0.3">
      <c r="A54" s="4" t="s">
        <v>428</v>
      </c>
      <c r="B54" s="6">
        <v>1</v>
      </c>
    </row>
    <row r="55" spans="1:27" x14ac:dyDescent="0.3">
      <c r="A55" s="4" t="s">
        <v>557</v>
      </c>
      <c r="B55" s="6">
        <v>1</v>
      </c>
    </row>
    <row r="56" spans="1:27" x14ac:dyDescent="0.3">
      <c r="A56" s="4" t="s">
        <v>489</v>
      </c>
      <c r="B56" s="6">
        <v>1</v>
      </c>
    </row>
    <row r="57" spans="1:27" x14ac:dyDescent="0.3">
      <c r="A57" s="4" t="s">
        <v>561</v>
      </c>
      <c r="B57" s="6">
        <v>1</v>
      </c>
    </row>
    <row r="58" spans="1:27" x14ac:dyDescent="0.3">
      <c r="A58" s="4" t="s">
        <v>548</v>
      </c>
      <c r="B58" s="6">
        <v>2</v>
      </c>
    </row>
    <row r="59" spans="1:27" x14ac:dyDescent="0.3">
      <c r="A59" s="4" t="s">
        <v>713</v>
      </c>
      <c r="B59" s="6">
        <v>2</v>
      </c>
    </row>
    <row r="60" spans="1:27" x14ac:dyDescent="0.3">
      <c r="A60" s="4" t="s">
        <v>617</v>
      </c>
      <c r="B60" s="6">
        <v>2</v>
      </c>
    </row>
    <row r="61" spans="1:27" x14ac:dyDescent="0.3">
      <c r="A61" s="4" t="s">
        <v>566</v>
      </c>
      <c r="B61" s="6">
        <v>6</v>
      </c>
    </row>
    <row r="62" spans="1:27" x14ac:dyDescent="0.3">
      <c r="A62" s="4" t="s">
        <v>511</v>
      </c>
      <c r="B62" s="6">
        <v>7</v>
      </c>
    </row>
    <row r="63" spans="1:27" x14ac:dyDescent="0.3">
      <c r="A63" s="4" t="s">
        <v>494</v>
      </c>
      <c r="B63" s="6">
        <v>11</v>
      </c>
    </row>
    <row r="64" spans="1:27" x14ac:dyDescent="0.3">
      <c r="A64" s="4" t="s">
        <v>221</v>
      </c>
      <c r="B64" s="6">
        <v>14</v>
      </c>
    </row>
    <row r="65" spans="1:2" x14ac:dyDescent="0.3">
      <c r="A65" s="4" t="s">
        <v>242</v>
      </c>
      <c r="B65" s="6">
        <v>17</v>
      </c>
    </row>
    <row r="66" spans="1:2" x14ac:dyDescent="0.3">
      <c r="A66" s="4" t="s">
        <v>64</v>
      </c>
      <c r="B66" s="6">
        <v>35</v>
      </c>
    </row>
    <row r="67" spans="1:2" x14ac:dyDescent="0.3">
      <c r="A67" s="4" t="s">
        <v>179</v>
      </c>
      <c r="B67" s="6">
        <v>38</v>
      </c>
    </row>
    <row r="68" spans="1:2" x14ac:dyDescent="0.3">
      <c r="A68" s="4" t="s">
        <v>24</v>
      </c>
      <c r="B68" s="6">
        <v>67</v>
      </c>
    </row>
    <row r="69" spans="1:2" x14ac:dyDescent="0.3">
      <c r="A69" s="4" t="s">
        <v>844</v>
      </c>
      <c r="B69" s="6">
        <v>206</v>
      </c>
    </row>
    <row r="72" spans="1:2" x14ac:dyDescent="0.3">
      <c r="A72" s="3" t="s">
        <v>843</v>
      </c>
      <c r="B72" t="s">
        <v>835</v>
      </c>
    </row>
    <row r="73" spans="1:2" x14ac:dyDescent="0.3">
      <c r="A73" s="4" t="s">
        <v>863</v>
      </c>
      <c r="B73" s="6">
        <v>5</v>
      </c>
    </row>
    <row r="74" spans="1:2" x14ac:dyDescent="0.3">
      <c r="A74" s="4" t="s">
        <v>864</v>
      </c>
      <c r="B74" s="6">
        <v>2</v>
      </c>
    </row>
    <row r="75" spans="1:2" x14ac:dyDescent="0.3">
      <c r="A75" s="4" t="s">
        <v>865</v>
      </c>
      <c r="B75" s="6">
        <v>11</v>
      </c>
    </row>
    <row r="76" spans="1:2" x14ac:dyDescent="0.3">
      <c r="A76" s="4" t="s">
        <v>866</v>
      </c>
      <c r="B76" s="6">
        <v>11</v>
      </c>
    </row>
    <row r="77" spans="1:2" x14ac:dyDescent="0.3">
      <c r="A77" s="4" t="s">
        <v>867</v>
      </c>
      <c r="B77" s="6">
        <v>25</v>
      </c>
    </row>
    <row r="78" spans="1:2" x14ac:dyDescent="0.3">
      <c r="A78" s="4" t="s">
        <v>868</v>
      </c>
      <c r="B78" s="6">
        <v>39</v>
      </c>
    </row>
    <row r="79" spans="1:2" x14ac:dyDescent="0.3">
      <c r="A79" s="4" t="s">
        <v>869</v>
      </c>
      <c r="B79" s="6">
        <v>61</v>
      </c>
    </row>
    <row r="80" spans="1:2" x14ac:dyDescent="0.3">
      <c r="A80" s="4" t="s">
        <v>870</v>
      </c>
      <c r="B80" s="6">
        <v>52</v>
      </c>
    </row>
    <row r="81" spans="1:2" x14ac:dyDescent="0.3">
      <c r="A81" s="4" t="s">
        <v>844</v>
      </c>
      <c r="B81" s="6">
        <v>206</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B464-9BC4-44B5-BAAA-23B7C5214A48}">
  <sheetPr>
    <tabColor rgb="FFFF0000"/>
  </sheetPr>
  <dimension ref="A1"/>
  <sheetViews>
    <sheetView zoomScale="87" zoomScaleNormal="87" workbookViewId="0">
      <selection activeCell="AB27" sqref="AB27"/>
    </sheetView>
  </sheetViews>
  <sheetFormatPr defaultRowHeight="14.4" x14ac:dyDescent="0.3"/>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anime_dataset</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Ruchika Natiye</cp:lastModifiedBy>
  <dcterms:created xsi:type="dcterms:W3CDTF">2026-07-01T11:14:52Z</dcterms:created>
  <dcterms:modified xsi:type="dcterms:W3CDTF">2026-07-04T11:25:43Z</dcterms:modified>
</cp:coreProperties>
</file>